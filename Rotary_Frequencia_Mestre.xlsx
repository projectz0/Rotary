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Frequência" sheetId="1" state="visible" r:id="rId3"/>
    <sheet name="Legenda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<sst xmlns="http://schemas.openxmlformats.org/spreadsheetml/2006/main" count="304" uniqueCount="90">
  <si>
    <t xml:space="preserve">Nº</t>
  </si>
  <si>
    <t xml:space="preserve">Nome</t>
  </si>
  <si>
    <t xml:space="preserve">Dispensado (*)</t>
  </si>
  <si>
    <t xml:space="preserve">07/07/2026</t>
  </si>
  <si>
    <t xml:space="preserve">14/07/2026</t>
  </si>
  <si>
    <t xml:space="preserve">21/07/2026</t>
  </si>
  <si>
    <t xml:space="preserve">28/07/2026</t>
  </si>
  <si>
    <t xml:space="preserve">Pontos</t>
  </si>
  <si>
    <t xml:space="preserve">Faltas Não Justificadas</t>
  </si>
  <si>
    <t xml:space="preserve">Reuniões Válidas</t>
  </si>
  <si>
    <t xml:space="preserve">% Presença</t>
  </si>
  <si>
    <t xml:space="preserve">Observações</t>
  </si>
  <si>
    <t xml:space="preserve">Adauto Alves Franco Junior</t>
  </si>
  <si>
    <t xml:space="preserve">A</t>
  </si>
  <si>
    <t xml:space="preserve">P</t>
  </si>
  <si>
    <t xml:space="preserve">André Campana Correia Leite</t>
  </si>
  <si>
    <t xml:space="preserve">Albertony Santos Assis</t>
  </si>
  <si>
    <t xml:space="preserve">Nome grafado 'SSSIS - Tony' na 1a lista</t>
  </si>
  <si>
    <t xml:space="preserve">Alpiniano Reis Oliveira Filho</t>
  </si>
  <si>
    <t xml:space="preserve">André Fernandes Dórea</t>
  </si>
  <si>
    <t xml:space="preserve">*</t>
  </si>
  <si>
    <t xml:space="preserve">Antônio Washington F. de Almeida</t>
  </si>
  <si>
    <t xml:space="preserve">Antônio José de Carvalho Monteiro</t>
  </si>
  <si>
    <t xml:space="preserve">Nome com apelido '-Toni' na 1a lista</t>
  </si>
  <si>
    <t xml:space="preserve">Alexandre Tarquínio Lara Medrado</t>
  </si>
  <si>
    <t xml:space="preserve">Bruno Nunes Silva</t>
  </si>
  <si>
    <t xml:space="preserve">Carlos Olimpio Ferraz Ribeiro Junior</t>
  </si>
  <si>
    <t xml:space="preserve">Claudiana de Souza Santos Carvalho</t>
  </si>
  <si>
    <t xml:space="preserve">Cleber Chagas Gonçalves</t>
  </si>
  <si>
    <t xml:space="preserve">Cristiano Almeida de Oliveira</t>
  </si>
  <si>
    <t xml:space="preserve">Cristina Fernandes da Cruz Dórea</t>
  </si>
  <si>
    <t xml:space="preserve">Dázio Brasileiro Filho</t>
  </si>
  <si>
    <t xml:space="preserve">Deonilso Aparecido Bueno de Oliveira</t>
  </si>
  <si>
    <t xml:space="preserve">Dion Luciano Vital</t>
  </si>
  <si>
    <t xml:space="preserve">Edivaldo Rodrigues Santana</t>
  </si>
  <si>
    <t xml:space="preserve">Eliana Mattos de Amorim Bueno</t>
  </si>
  <si>
    <t xml:space="preserve">AJ</t>
  </si>
  <si>
    <t xml:space="preserve">Fernanda Bulcão Palmeira</t>
  </si>
  <si>
    <t xml:space="preserve">Fernando Gassmann Figueiredo</t>
  </si>
  <si>
    <t xml:space="preserve">Hugo da Cruz Dórea</t>
  </si>
  <si>
    <t xml:space="preserve">Ítalo Almeida de Moura</t>
  </si>
  <si>
    <t xml:space="preserve">Jeidson Antônio Morais Marques</t>
  </si>
  <si>
    <t xml:space="preserve">João Baptista Ferreira</t>
  </si>
  <si>
    <t xml:space="preserve">João Barreto</t>
  </si>
  <si>
    <t xml:space="preserve">Jolival Alves Soares</t>
  </si>
  <si>
    <t xml:space="preserve">José Adson Santos Rubem</t>
  </si>
  <si>
    <t xml:space="preserve">José Carlos Oliveira Bispo</t>
  </si>
  <si>
    <t xml:space="preserve">José Carlos Rodrigues</t>
  </si>
  <si>
    <t xml:space="preserve">José de Anchieta Leite</t>
  </si>
  <si>
    <t xml:space="preserve">José Geraldo Lopes Siqueira</t>
  </si>
  <si>
    <t xml:space="preserve">José Raimundo Pereira de Azevedo</t>
  </si>
  <si>
    <t xml:space="preserve">José Rosa Figueiredo Filho</t>
  </si>
  <si>
    <t xml:space="preserve">Luiz da Costa Neto</t>
  </si>
  <si>
    <t xml:space="preserve">Márcio Lara Medrado</t>
  </si>
  <si>
    <t xml:space="preserve">Maria Clécia Vasconcelos</t>
  </si>
  <si>
    <t xml:space="preserve">Grafada 'V. de M.F. Costa' na 1a lista - confirmado que e a mesma pessoa</t>
  </si>
  <si>
    <t xml:space="preserve">Miguel Fernandes Dórea</t>
  </si>
  <si>
    <t xml:space="preserve">Moisés de Santana Silva</t>
  </si>
  <si>
    <t xml:space="preserve">Nilson Coelho Lopes</t>
  </si>
  <si>
    <t xml:space="preserve">Paulo Barreto dos Santos</t>
  </si>
  <si>
    <t xml:space="preserve">Renato Ribeiro da Silva</t>
  </si>
  <si>
    <t xml:space="preserve">Ricardo Gassmann Figueiredo</t>
  </si>
  <si>
    <t xml:space="preserve">Ronald de Freitas Paixão</t>
  </si>
  <si>
    <t xml:space="preserve">Roseli Rodrigues da Silva</t>
  </si>
  <si>
    <t xml:space="preserve">Grafada 'de Jesus - Rose' na 1a lista</t>
  </si>
  <si>
    <t xml:space="preserve">Ruy Sandes Leal</t>
  </si>
  <si>
    <t xml:space="preserve">Ruy Sandes Leal Junior</t>
  </si>
  <si>
    <t xml:space="preserve">Waldécio dos Santos Vita</t>
  </si>
  <si>
    <t xml:space="preserve">Vinícius Guedes Rios</t>
  </si>
  <si>
    <t xml:space="preserve">Yolanda Nati Gassmann Figueiredo</t>
  </si>
  <si>
    <t xml:space="preserve">Código</t>
  </si>
  <si>
    <t xml:space="preserve">Significado</t>
  </si>
  <si>
    <t xml:space="preserve">Presente (assinou a lista de frequência) — soma 1 ponto</t>
  </si>
  <si>
    <t xml:space="preserve">Ausente com falta justificada (marcou 'Sim' no campo Falta Justificada) — soma 1 ponto, conta como presença</t>
  </si>
  <si>
    <t xml:space="preserve">Ausente sem justificativa — 0 ponto, conta como falta</t>
  </si>
  <si>
    <t xml:space="preserve">-</t>
  </si>
  <si>
    <t xml:space="preserve">Reunião em que a pessoa não constava na lista de frequência (ex.: entrou/saiu do quadro)</t>
  </si>
  <si>
    <t xml:space="preserve">Regra de pontuação</t>
  </si>
  <si>
    <t xml:space="preserve">1 ponto por presença ou falta justificada. Falta não justificada não soma ponto. Ranking = soma de pontos no período.</t>
  </si>
  <si>
    <t xml:space="preserve">Decisões já confirmadas com o Jefferson</t>
  </si>
  <si>
    <t xml:space="preserve">Maria Clécia (linha 37)</t>
  </si>
  <si>
    <t xml:space="preserve">Confirmado: 'Maria Clécia V. de M. F. Costa' (1a lista) e 'Maria Clécia Vasconcelos' (demais listas) são a mesma pessoa. Nome canônico adotado: Maria Clécia Vasconcelos.</t>
  </si>
  <si>
    <t xml:space="preserve">Reginaldo Caribé de Araújo e Ricardo de Souza Santos</t>
  </si>
  <si>
    <t xml:space="preserve">Apareciam só na lista de 07/07 e não constavam nas 3 seguintes. Removidos do quadro e do ranking a pedido do Jefferson.</t>
  </si>
  <si>
    <t xml:space="preserve">Eliana Mattos de Amorim Bueno (linha 19)</t>
  </si>
  <si>
    <t xml:space="preserve">Corrigido de falta simples (A) para falta justificada (AJ) em 14/07 e 21/07 — estava doente e a lista reenviada pelo Jefferson confirma 'Sim' marcado no campo Falta Justificada nas duas datas.</t>
  </si>
  <si>
    <t xml:space="preserve">Dispensados de frequência (*)</t>
  </si>
  <si>
    <t xml:space="preserve">15 sócios marcados com (*) em todas as listas, ligados à nota de rodapé 'Idade + Tempo de Rotary = ou + 85 anos'. Pontuam pela mesma regra de todo mundo (presença/justificativa).</t>
  </si>
  <si>
    <t xml:space="preserve">Diretoria (exibida no site)</t>
  </si>
  <si>
    <t xml:space="preserve">Presidente: Bruno Nunes Silva. 1º Secretário: José Carlos Rodrigues.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</si>
</sst>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%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i val="true"/>
      <sz val="11"/>
      <color rgb="FFC00000"/>
      <name val="Arial"/>
      <family val="0"/>
      <charset val="1"/>
    </font>
    <font>
      <b val="true"/>
      <sz val="11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5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4"/>
    <col collapsed="false" customWidth="true" hidden="false" outlineLevel="0" max="7" min="3" style="0" width="12"/>
    <col collapsed="false" customWidth="true" hidden="false" outlineLevel="0" max="8" min="8" style="0" width="9"/>
    <col collapsed="false" customWidth="true" hidden="false" outlineLevel="0" max="11" min="9" style="0" width="12"/>
    <col collapsed="false" customWidth="true" hidden="false" outlineLevel="0" max="12" min="12" style="0" width="46"/>
  </cols>
  <sheetData>
    <row r="1" customFormat="false" ht="39.5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customFormat="false" ht="15" hidden="false" customHeight="false" outlineLevel="0" collapsed="false">
      <c r="A2" s="2" t="n">
        <v>1</v>
      </c>
      <c r="B2" s="3" t="s">
        <v>12</v>
      </c>
      <c r="C2" s="2"/>
      <c r="D2" s="2" t="s">
        <v>13</v>
      </c>
      <c r="E2" s="2" t="s">
        <v>14</v>
      </c>
      <c r="F2" s="2" t="s">
        <v>14</v>
      </c>
      <c r="G2" s="2" t="s">
        <v>14</v>
      </c>
      <c r="H2" s="2" t="n">
        <f aca="false">COUNTIF(D2:G2,"P")+COUNTIF(D2:G2,"AJ")</f>
        <v>3</v>
      </c>
      <c r="I2" s="2" t="n">
        <f aca="false">COUNTIF(D2:G2,"A")</f>
        <v>1</v>
      </c>
      <c r="J2" s="2" t="n">
        <f aca="false">4-COUNTIF(D2:G2,"-")</f>
        <v>4</v>
      </c>
      <c r="K2" s="4" t="n">
        <f aca="false">IF(J2=0,"-",H2/J2)</f>
        <v>0.75</v>
      </c>
      <c r="L2" s="3"/>
    </row>
    <row r="3" customFormat="false" ht="15" hidden="false" customHeight="false" outlineLevel="0" collapsed="false">
      <c r="A3" s="2" t="n">
        <v>2</v>
      </c>
      <c r="B3" s="3" t="s">
        <v>15</v>
      </c>
      <c r="C3" s="2"/>
      <c r="D3" s="2" t="s">
        <v>13</v>
      </c>
      <c r="E3" s="2" t="s">
        <v>14</v>
      </c>
      <c r="F3" s="2" t="s">
        <v>14</v>
      </c>
      <c r="G3" s="2" t="s">
        <v>14</v>
      </c>
      <c r="H3" s="2" t="n">
        <f aca="false">COUNTIF(D3:G3,"P")+COUNTIF(D3:G3,"AJ")</f>
        <v>3</v>
      </c>
      <c r="I3" s="2" t="n">
        <f aca="false">COUNTIF(D3:G3,"A")</f>
        <v>1</v>
      </c>
      <c r="J3" s="2" t="n">
        <f aca="false">4-COUNTIF(D3:G3,"-")</f>
        <v>4</v>
      </c>
      <c r="K3" s="4" t="n">
        <f aca="false">IF(J3=0,"-",H3/J3)</f>
        <v>0.75</v>
      </c>
      <c r="L3" s="3"/>
    </row>
    <row r="4" customFormat="false" ht="15" hidden="false" customHeight="false" outlineLevel="0" collapsed="false">
      <c r="A4" s="2" t="n">
        <v>3</v>
      </c>
      <c r="B4" s="3" t="s">
        <v>16</v>
      </c>
      <c r="C4" s="2"/>
      <c r="D4" s="2" t="s">
        <v>14</v>
      </c>
      <c r="E4" s="2" t="s">
        <v>14</v>
      </c>
      <c r="F4" s="2" t="s">
        <v>13</v>
      </c>
      <c r="G4" s="2" t="s">
        <v>14</v>
      </c>
      <c r="H4" s="2" t="n">
        <f aca="false">COUNTIF(D4:G4,"P")+COUNTIF(D4:G4,"AJ")</f>
        <v>3</v>
      </c>
      <c r="I4" s="2" t="n">
        <f aca="false">COUNTIF(D4:G4,"A")</f>
        <v>1</v>
      </c>
      <c r="J4" s="2" t="n">
        <f aca="false">4-COUNTIF(D4:G4,"-")</f>
        <v>4</v>
      </c>
      <c r="K4" s="4" t="n">
        <f aca="false">IF(J4=0,"-",H4/J4)</f>
        <v>0.75</v>
      </c>
      <c r="L4" s="5" t="s">
        <v>17</v>
      </c>
    </row>
    <row r="5" customFormat="false" ht="15" hidden="false" customHeight="false" outlineLevel="0" collapsed="false">
      <c r="A5" s="2" t="n">
        <v>4</v>
      </c>
      <c r="B5" s="3" t="s">
        <v>18</v>
      </c>
      <c r="C5" s="2"/>
      <c r="D5" s="2" t="s">
        <v>13</v>
      </c>
      <c r="E5" s="2" t="s">
        <v>14</v>
      </c>
      <c r="F5" s="2" t="s">
        <v>14</v>
      </c>
      <c r="G5" s="2" t="s">
        <v>14</v>
      </c>
      <c r="H5" s="2" t="n">
        <f aca="false">COUNTIF(D5:G5,"P")+COUNTIF(D5:G5,"AJ")</f>
        <v>3</v>
      </c>
      <c r="I5" s="2" t="n">
        <f aca="false">COUNTIF(D5:G5,"A")</f>
        <v>1</v>
      </c>
      <c r="J5" s="2" t="n">
        <f aca="false">4-COUNTIF(D5:G5,"-")</f>
        <v>4</v>
      </c>
      <c r="K5" s="4" t="n">
        <f aca="false">IF(J5=0,"-",H5/J5)</f>
        <v>0.75</v>
      </c>
      <c r="L5" s="3"/>
    </row>
    <row r="6" customFormat="false" ht="15" hidden="false" customHeight="false" outlineLevel="0" collapsed="false">
      <c r="A6" s="2" t="n">
        <v>5</v>
      </c>
      <c r="B6" s="3" t="s">
        <v>19</v>
      </c>
      <c r="C6" s="2" t="s">
        <v>20</v>
      </c>
      <c r="D6" s="2" t="s">
        <v>13</v>
      </c>
      <c r="E6" s="2" t="s">
        <v>14</v>
      </c>
      <c r="F6" s="2" t="s">
        <v>14</v>
      </c>
      <c r="G6" s="2" t="s">
        <v>14</v>
      </c>
      <c r="H6" s="2" t="n">
        <f aca="false">COUNTIF(D6:G6,"P")+COUNTIF(D6:G6,"AJ")</f>
        <v>3</v>
      </c>
      <c r="I6" s="2" t="n">
        <f aca="false">COUNTIF(D6:G6,"A")</f>
        <v>1</v>
      </c>
      <c r="J6" s="2" t="n">
        <f aca="false">4-COUNTIF(D6:G6,"-")</f>
        <v>4</v>
      </c>
      <c r="K6" s="4" t="n">
        <f aca="false">IF(J6=0,"-",H6/J6)</f>
        <v>0.75</v>
      </c>
      <c r="L6" s="3"/>
    </row>
    <row r="7" customFormat="false" ht="15" hidden="false" customHeight="false" outlineLevel="0" collapsed="false">
      <c r="A7" s="2" t="n">
        <v>6</v>
      </c>
      <c r="B7" s="3" t="s">
        <v>21</v>
      </c>
      <c r="C7" s="2" t="s">
        <v>20</v>
      </c>
      <c r="D7" s="2" t="s">
        <v>14</v>
      </c>
      <c r="E7" s="2" t="s">
        <v>14</v>
      </c>
      <c r="F7" s="2" t="s">
        <v>14</v>
      </c>
      <c r="G7" s="2" t="s">
        <v>14</v>
      </c>
      <c r="H7" s="2" t="n">
        <f aca="false">COUNTIF(D7:G7,"P")+COUNTIF(D7:G7,"AJ")</f>
        <v>4</v>
      </c>
      <c r="I7" s="2" t="n">
        <f aca="false">COUNTIF(D7:G7,"A")</f>
        <v>0</v>
      </c>
      <c r="J7" s="2" t="n">
        <f aca="false">4-COUNTIF(D7:G7,"-")</f>
        <v>4</v>
      </c>
      <c r="K7" s="4" t="n">
        <f aca="false">IF(J7=0,"-",H7/J7)</f>
        <v>1</v>
      </c>
      <c r="L7" s="3"/>
    </row>
    <row r="8" customFormat="false" ht="15" hidden="false" customHeight="false" outlineLevel="0" collapsed="false">
      <c r="A8" s="2" t="n">
        <v>7</v>
      </c>
      <c r="B8" s="3" t="s">
        <v>22</v>
      </c>
      <c r="C8" s="2"/>
      <c r="D8" s="2" t="s">
        <v>14</v>
      </c>
      <c r="E8" s="2" t="s">
        <v>14</v>
      </c>
      <c r="F8" s="2" t="s">
        <v>13</v>
      </c>
      <c r="G8" s="2" t="s">
        <v>14</v>
      </c>
      <c r="H8" s="2" t="n">
        <f aca="false">COUNTIF(D8:G8,"P")+COUNTIF(D8:G8,"AJ")</f>
        <v>3</v>
      </c>
      <c r="I8" s="2" t="n">
        <f aca="false">COUNTIF(D8:G8,"A")</f>
        <v>1</v>
      </c>
      <c r="J8" s="2" t="n">
        <f aca="false">4-COUNTIF(D8:G8,"-")</f>
        <v>4</v>
      </c>
      <c r="K8" s="4" t="n">
        <f aca="false">IF(J8=0,"-",H8/J8)</f>
        <v>0.75</v>
      </c>
      <c r="L8" s="5" t="s">
        <v>23</v>
      </c>
    </row>
    <row r="9" customFormat="false" ht="15" hidden="false" customHeight="false" outlineLevel="0" collapsed="false">
      <c r="A9" s="2" t="n">
        <v>8</v>
      </c>
      <c r="B9" s="3" t="s">
        <v>24</v>
      </c>
      <c r="C9" s="2"/>
      <c r="D9" s="2" t="s">
        <v>14</v>
      </c>
      <c r="E9" s="2" t="s">
        <v>13</v>
      </c>
      <c r="F9" s="2" t="s">
        <v>13</v>
      </c>
      <c r="G9" s="2" t="s">
        <v>14</v>
      </c>
      <c r="H9" s="2" t="n">
        <f aca="false">COUNTIF(D9:G9,"P")+COUNTIF(D9:G9,"AJ")</f>
        <v>2</v>
      </c>
      <c r="I9" s="2" t="n">
        <f aca="false">COUNTIF(D9:G9,"A")</f>
        <v>2</v>
      </c>
      <c r="J9" s="2" t="n">
        <f aca="false">4-COUNTIF(D9:G9,"-")</f>
        <v>4</v>
      </c>
      <c r="K9" s="4" t="n">
        <f aca="false">IF(J9=0,"-",H9/J9)</f>
        <v>0.5</v>
      </c>
      <c r="L9" s="3"/>
    </row>
    <row r="10" customFormat="false" ht="15" hidden="false" customHeight="false" outlineLevel="0" collapsed="false">
      <c r="A10" s="2" t="n">
        <v>9</v>
      </c>
      <c r="B10" s="3" t="s">
        <v>25</v>
      </c>
      <c r="C10" s="2"/>
      <c r="D10" s="2" t="s">
        <v>14</v>
      </c>
      <c r="E10" s="2" t="s">
        <v>14</v>
      </c>
      <c r="F10" s="2" t="s">
        <v>14</v>
      </c>
      <c r="G10" s="2" t="s">
        <v>14</v>
      </c>
      <c r="H10" s="2" t="n">
        <f aca="false">COUNTIF(D10:G10,"P")+COUNTIF(D10:G10,"AJ")</f>
        <v>4</v>
      </c>
      <c r="I10" s="2" t="n">
        <f aca="false">COUNTIF(D10:G10,"A")</f>
        <v>0</v>
      </c>
      <c r="J10" s="2" t="n">
        <f aca="false">4-COUNTIF(D10:G10,"-")</f>
        <v>4</v>
      </c>
      <c r="K10" s="4" t="n">
        <f aca="false">IF(J10=0,"-",H10/J10)</f>
        <v>1</v>
      </c>
      <c r="L10" s="3"/>
    </row>
    <row r="11" customFormat="false" ht="15" hidden="false" customHeight="false" outlineLevel="0" collapsed="false">
      <c r="A11" s="2" t="n">
        <v>10</v>
      </c>
      <c r="B11" s="3" t="s">
        <v>26</v>
      </c>
      <c r="C11" s="2"/>
      <c r="D11" s="2" t="s">
        <v>13</v>
      </c>
      <c r="E11" s="2" t="s">
        <v>13</v>
      </c>
      <c r="F11" s="2" t="s">
        <v>13</v>
      </c>
      <c r="G11" s="2" t="s">
        <v>13</v>
      </c>
      <c r="H11" s="2" t="n">
        <f aca="false">COUNTIF(D11:G11,"P")+COUNTIF(D11:G11,"AJ")</f>
        <v>0</v>
      </c>
      <c r="I11" s="2" t="n">
        <f aca="false">COUNTIF(D11:G11,"A")</f>
        <v>4</v>
      </c>
      <c r="J11" s="2" t="n">
        <f aca="false">4-COUNTIF(D11:G11,"-")</f>
        <v>4</v>
      </c>
      <c r="K11" s="4" t="n">
        <f aca="false">IF(J11=0,"-",H11/J11)</f>
        <v>0</v>
      </c>
      <c r="L11" s="3"/>
    </row>
    <row r="12" customFormat="false" ht="15" hidden="false" customHeight="false" outlineLevel="0" collapsed="false">
      <c r="A12" s="2" t="n">
        <v>11</v>
      </c>
      <c r="B12" s="3" t="s">
        <v>27</v>
      </c>
      <c r="C12" s="2"/>
      <c r="D12" s="2" t="s">
        <v>13</v>
      </c>
      <c r="E12" s="2" t="s">
        <v>14</v>
      </c>
      <c r="F12" s="2" t="s">
        <v>13</v>
      </c>
      <c r="G12" s="2" t="s">
        <v>13</v>
      </c>
      <c r="H12" s="2" t="n">
        <f aca="false">COUNTIF(D12:G12,"P")+COUNTIF(D12:G12,"AJ")</f>
        <v>1</v>
      </c>
      <c r="I12" s="2" t="n">
        <f aca="false">COUNTIF(D12:G12,"A")</f>
        <v>3</v>
      </c>
      <c r="J12" s="2" t="n">
        <f aca="false">4-COUNTIF(D12:G12,"-")</f>
        <v>4</v>
      </c>
      <c r="K12" s="4" t="n">
        <f aca="false">IF(J12=0,"-",H12/J12)</f>
        <v>0.25</v>
      </c>
      <c r="L12" s="3"/>
    </row>
    <row r="13" customFormat="false" ht="15" hidden="false" customHeight="false" outlineLevel="0" collapsed="false">
      <c r="A13" s="2" t="n">
        <v>12</v>
      </c>
      <c r="B13" s="3" t="s">
        <v>28</v>
      </c>
      <c r="C13" s="2"/>
      <c r="D13" s="2" t="s">
        <v>13</v>
      </c>
      <c r="E13" s="2" t="s">
        <v>14</v>
      </c>
      <c r="F13" s="2" t="s">
        <v>13</v>
      </c>
      <c r="G13" s="2" t="s">
        <v>13</v>
      </c>
      <c r="H13" s="2" t="n">
        <f aca="false">COUNTIF(D13:G13,"P")+COUNTIF(D13:G13,"AJ")</f>
        <v>1</v>
      </c>
      <c r="I13" s="2" t="n">
        <f aca="false">COUNTIF(D13:G13,"A")</f>
        <v>3</v>
      </c>
      <c r="J13" s="2" t="n">
        <f aca="false">4-COUNTIF(D13:G13,"-")</f>
        <v>4</v>
      </c>
      <c r="K13" s="4" t="n">
        <f aca="false">IF(J13=0,"-",H13/J13)</f>
        <v>0.25</v>
      </c>
      <c r="L13" s="3"/>
    </row>
    <row r="14" customFormat="false" ht="15" hidden="false" customHeight="false" outlineLevel="0" collapsed="false">
      <c r="A14" s="2" t="n">
        <v>13</v>
      </c>
      <c r="B14" s="3" t="s">
        <v>29</v>
      </c>
      <c r="C14" s="2"/>
      <c r="D14" s="2" t="s">
        <v>14</v>
      </c>
      <c r="E14" s="2" t="s">
        <v>14</v>
      </c>
      <c r="F14" s="2" t="s">
        <v>13</v>
      </c>
      <c r="G14" s="2" t="s">
        <v>13</v>
      </c>
      <c r="H14" s="2" t="n">
        <f aca="false">COUNTIF(D14:G14,"P")+COUNTIF(D14:G14,"AJ")</f>
        <v>2</v>
      </c>
      <c r="I14" s="2" t="n">
        <f aca="false">COUNTIF(D14:G14,"A")</f>
        <v>2</v>
      </c>
      <c r="J14" s="2" t="n">
        <f aca="false">4-COUNTIF(D14:G14,"-")</f>
        <v>4</v>
      </c>
      <c r="K14" s="4" t="n">
        <f aca="false">IF(J14=0,"-",H14/J14)</f>
        <v>0.5</v>
      </c>
      <c r="L14" s="3"/>
    </row>
    <row r="15" customFormat="false" ht="15" hidden="false" customHeight="false" outlineLevel="0" collapsed="false">
      <c r="A15" s="2" t="n">
        <v>14</v>
      </c>
      <c r="B15" s="3" t="s">
        <v>30</v>
      </c>
      <c r="C15" s="2"/>
      <c r="D15" s="2" t="s">
        <v>14</v>
      </c>
      <c r="E15" s="2" t="s">
        <v>13</v>
      </c>
      <c r="F15" s="2" t="s">
        <v>14</v>
      </c>
      <c r="G15" s="2" t="s">
        <v>14</v>
      </c>
      <c r="H15" s="2" t="n">
        <f aca="false">COUNTIF(D15:G15,"P")+COUNTIF(D15:G15,"AJ")</f>
        <v>3</v>
      </c>
      <c r="I15" s="2" t="n">
        <f aca="false">COUNTIF(D15:G15,"A")</f>
        <v>1</v>
      </c>
      <c r="J15" s="2" t="n">
        <f aca="false">4-COUNTIF(D15:G15,"-")</f>
        <v>4</v>
      </c>
      <c r="K15" s="4" t="n">
        <f aca="false">IF(J15=0,"-",H15/J15)</f>
        <v>0.75</v>
      </c>
      <c r="L15" s="3"/>
    </row>
    <row r="16" customFormat="false" ht="15" hidden="false" customHeight="false" outlineLevel="0" collapsed="false">
      <c r="A16" s="2" t="n">
        <v>15</v>
      </c>
      <c r="B16" s="3" t="s">
        <v>31</v>
      </c>
      <c r="C16" s="2" t="s">
        <v>20</v>
      </c>
      <c r="D16" s="2" t="s">
        <v>14</v>
      </c>
      <c r="E16" s="2" t="s">
        <v>14</v>
      </c>
      <c r="F16" s="2" t="s">
        <v>14</v>
      </c>
      <c r="G16" s="2" t="s">
        <v>14</v>
      </c>
      <c r="H16" s="2" t="n">
        <f aca="false">COUNTIF(D16:G16,"P")+COUNTIF(D16:G16,"AJ")</f>
        <v>4</v>
      </c>
      <c r="I16" s="2" t="n">
        <f aca="false">COUNTIF(D16:G16,"A")</f>
        <v>0</v>
      </c>
      <c r="J16" s="2" t="n">
        <f aca="false">4-COUNTIF(D16:G16,"-")</f>
        <v>4</v>
      </c>
      <c r="K16" s="4" t="n">
        <f aca="false">IF(J16=0,"-",H16/J16)</f>
        <v>1</v>
      </c>
      <c r="L16" s="3"/>
    </row>
    <row r="17" customFormat="false" ht="15" hidden="false" customHeight="false" outlineLevel="0" collapsed="false">
      <c r="A17" s="2" t="n">
        <v>16</v>
      </c>
      <c r="B17" s="3" t="s">
        <v>32</v>
      </c>
      <c r="C17" s="2" t="s">
        <v>20</v>
      </c>
      <c r="D17" s="2" t="s">
        <v>13</v>
      </c>
      <c r="E17" s="2" t="s">
        <v>13</v>
      </c>
      <c r="F17" s="2" t="s">
        <v>13</v>
      </c>
      <c r="G17" s="2" t="s">
        <v>14</v>
      </c>
      <c r="H17" s="2" t="n">
        <f aca="false">COUNTIF(D17:G17,"P")+COUNTIF(D17:G17,"AJ")</f>
        <v>1</v>
      </c>
      <c r="I17" s="2" t="n">
        <f aca="false">COUNTIF(D17:G17,"A")</f>
        <v>3</v>
      </c>
      <c r="J17" s="2" t="n">
        <f aca="false">4-COUNTIF(D17:G17,"-")</f>
        <v>4</v>
      </c>
      <c r="K17" s="4" t="n">
        <f aca="false">IF(J17=0,"-",H17/J17)</f>
        <v>0.25</v>
      </c>
      <c r="L17" s="3"/>
    </row>
    <row r="18" customFormat="false" ht="15" hidden="false" customHeight="false" outlineLevel="0" collapsed="false">
      <c r="A18" s="2" t="n">
        <v>17</v>
      </c>
      <c r="B18" s="3" t="s">
        <v>33</v>
      </c>
      <c r="C18" s="2"/>
      <c r="D18" s="2" t="s">
        <v>14</v>
      </c>
      <c r="E18" s="2" t="s">
        <v>13</v>
      </c>
      <c r="F18" s="2" t="s">
        <v>14</v>
      </c>
      <c r="G18" s="2" t="s">
        <v>14</v>
      </c>
      <c r="H18" s="2" t="n">
        <f aca="false">COUNTIF(D18:G18,"P")+COUNTIF(D18:G18,"AJ")</f>
        <v>3</v>
      </c>
      <c r="I18" s="2" t="n">
        <f aca="false">COUNTIF(D18:G18,"A")</f>
        <v>1</v>
      </c>
      <c r="J18" s="2" t="n">
        <f aca="false">4-COUNTIF(D18:G18,"-")</f>
        <v>4</v>
      </c>
      <c r="K18" s="4" t="n">
        <f aca="false">IF(J18=0,"-",H18/J18)</f>
        <v>0.75</v>
      </c>
      <c r="L18" s="3"/>
    </row>
    <row r="19" customFormat="false" ht="15" hidden="false" customHeight="false" outlineLevel="0" collapsed="false">
      <c r="A19" s="2" t="n">
        <v>18</v>
      </c>
      <c r="B19" s="3" t="s">
        <v>34</v>
      </c>
      <c r="C19" s="2"/>
      <c r="D19" s="2" t="s">
        <v>14</v>
      </c>
      <c r="E19" s="2" t="s">
        <v>14</v>
      </c>
      <c r="F19" s="2" t="s">
        <v>14</v>
      </c>
      <c r="G19" s="2" t="s">
        <v>14</v>
      </c>
      <c r="H19" s="2" t="n">
        <f aca="false">COUNTIF(D19:G19,"P")+COUNTIF(D19:G19,"AJ")</f>
        <v>4</v>
      </c>
      <c r="I19" s="2" t="n">
        <f aca="false">COUNTIF(D19:G19,"A")</f>
        <v>0</v>
      </c>
      <c r="J19" s="2" t="n">
        <f aca="false">4-COUNTIF(D19:G19,"-")</f>
        <v>4</v>
      </c>
      <c r="K19" s="4" t="n">
        <f aca="false">IF(J19=0,"-",H19/J19)</f>
        <v>1</v>
      </c>
      <c r="L19" s="3"/>
    </row>
    <row r="20" customFormat="false" ht="15" hidden="false" customHeight="false" outlineLevel="0" collapsed="false">
      <c r="A20" s="2" t="n">
        <v>19</v>
      </c>
      <c r="B20" s="3" t="s">
        <v>35</v>
      </c>
      <c r="C20" s="2"/>
      <c r="D20" s="2" t="s">
        <v>14</v>
      </c>
      <c r="E20" s="2" t="s">
        <v>36</v>
      </c>
      <c r="F20" s="2" t="s">
        <v>36</v>
      </c>
      <c r="G20" s="2" t="s">
        <v>14</v>
      </c>
      <c r="H20" s="2" t="n">
        <f aca="false">COUNTIF(D20:G20,"P")+COUNTIF(D20:G20,"AJ")</f>
        <v>4</v>
      </c>
      <c r="I20" s="2" t="n">
        <f aca="false">COUNTIF(D20:G20,"A")</f>
        <v>0</v>
      </c>
      <c r="J20" s="2" t="n">
        <f aca="false">4-COUNTIF(D20:G20,"-")</f>
        <v>4</v>
      </c>
      <c r="K20" s="4" t="n">
        <f aca="false">IF(J20=0,"-",H20/J20)</f>
        <v>1</v>
      </c>
      <c r="L20" s="3"/>
    </row>
    <row r="21" customFormat="false" ht="15" hidden="false" customHeight="false" outlineLevel="0" collapsed="false">
      <c r="A21" s="2" t="n">
        <v>20</v>
      </c>
      <c r="B21" s="3" t="s">
        <v>37</v>
      </c>
      <c r="C21" s="2"/>
      <c r="D21" s="2" t="s">
        <v>13</v>
      </c>
      <c r="E21" s="2" t="s">
        <v>13</v>
      </c>
      <c r="F21" s="2" t="s">
        <v>13</v>
      </c>
      <c r="G21" s="2" t="s">
        <v>13</v>
      </c>
      <c r="H21" s="2" t="n">
        <f aca="false">COUNTIF(D21:G21,"P")+COUNTIF(D21:G21,"AJ")</f>
        <v>0</v>
      </c>
      <c r="I21" s="2" t="n">
        <f aca="false">COUNTIF(D21:G21,"A")</f>
        <v>4</v>
      </c>
      <c r="J21" s="2" t="n">
        <f aca="false">4-COUNTIF(D21:G21,"-")</f>
        <v>4</v>
      </c>
      <c r="K21" s="4" t="n">
        <f aca="false">IF(J21=0,"-",H21/J21)</f>
        <v>0</v>
      </c>
      <c r="L21" s="3"/>
    </row>
    <row r="22" customFormat="false" ht="15" hidden="false" customHeight="false" outlineLevel="0" collapsed="false">
      <c r="A22" s="2" t="n">
        <v>21</v>
      </c>
      <c r="B22" s="3" t="s">
        <v>38</v>
      </c>
      <c r="C22" s="2"/>
      <c r="D22" s="2" t="s">
        <v>13</v>
      </c>
      <c r="E22" s="2" t="s">
        <v>14</v>
      </c>
      <c r="F22" s="2" t="s">
        <v>14</v>
      </c>
      <c r="G22" s="2" t="s">
        <v>13</v>
      </c>
      <c r="H22" s="2" t="n">
        <f aca="false">COUNTIF(D22:G22,"P")+COUNTIF(D22:G22,"AJ")</f>
        <v>2</v>
      </c>
      <c r="I22" s="2" t="n">
        <f aca="false">COUNTIF(D22:G22,"A")</f>
        <v>2</v>
      </c>
      <c r="J22" s="2" t="n">
        <f aca="false">4-COUNTIF(D22:G22,"-")</f>
        <v>4</v>
      </c>
      <c r="K22" s="4" t="n">
        <f aca="false">IF(J22=0,"-",H22/J22)</f>
        <v>0.5</v>
      </c>
      <c r="L22" s="3"/>
    </row>
    <row r="23" customFormat="false" ht="15" hidden="false" customHeight="false" outlineLevel="0" collapsed="false">
      <c r="A23" s="2" t="n">
        <v>22</v>
      </c>
      <c r="B23" s="3" t="s">
        <v>39</v>
      </c>
      <c r="C23" s="2" t="s">
        <v>20</v>
      </c>
      <c r="D23" s="2" t="s">
        <v>14</v>
      </c>
      <c r="E23" s="2" t="s">
        <v>14</v>
      </c>
      <c r="F23" s="2" t="s">
        <v>14</v>
      </c>
      <c r="G23" s="2" t="s">
        <v>14</v>
      </c>
      <c r="H23" s="2" t="n">
        <f aca="false">COUNTIF(D23:G23,"P")+COUNTIF(D23:G23,"AJ")</f>
        <v>4</v>
      </c>
      <c r="I23" s="2" t="n">
        <f aca="false">COUNTIF(D23:G23,"A")</f>
        <v>0</v>
      </c>
      <c r="J23" s="2" t="n">
        <f aca="false">4-COUNTIF(D23:G23,"-")</f>
        <v>4</v>
      </c>
      <c r="K23" s="4" t="n">
        <f aca="false">IF(J23=0,"-",H23/J23)</f>
        <v>1</v>
      </c>
      <c r="L23" s="3"/>
    </row>
    <row r="24" customFormat="false" ht="15" hidden="false" customHeight="false" outlineLevel="0" collapsed="false">
      <c r="A24" s="2" t="n">
        <v>23</v>
      </c>
      <c r="B24" s="3" t="s">
        <v>40</v>
      </c>
      <c r="C24" s="2"/>
      <c r="D24" s="2" t="s">
        <v>14</v>
      </c>
      <c r="E24" s="2" t="s">
        <v>14</v>
      </c>
      <c r="F24" s="2" t="s">
        <v>14</v>
      </c>
      <c r="G24" s="2" t="s">
        <v>14</v>
      </c>
      <c r="H24" s="2" t="n">
        <f aca="false">COUNTIF(D24:G24,"P")+COUNTIF(D24:G24,"AJ")</f>
        <v>4</v>
      </c>
      <c r="I24" s="2" t="n">
        <f aca="false">COUNTIF(D24:G24,"A")</f>
        <v>0</v>
      </c>
      <c r="J24" s="2" t="n">
        <f aca="false">4-COUNTIF(D24:G24,"-")</f>
        <v>4</v>
      </c>
      <c r="K24" s="4" t="n">
        <f aca="false">IF(J24=0,"-",H24/J24)</f>
        <v>1</v>
      </c>
      <c r="L24" s="3"/>
    </row>
    <row r="25" customFormat="false" ht="15" hidden="false" customHeight="false" outlineLevel="0" collapsed="false">
      <c r="A25" s="2" t="n">
        <v>24</v>
      </c>
      <c r="B25" s="3" t="s">
        <v>41</v>
      </c>
      <c r="C25" s="2"/>
      <c r="D25" s="2" t="s">
        <v>13</v>
      </c>
      <c r="E25" s="2" t="s">
        <v>14</v>
      </c>
      <c r="F25" s="2" t="s">
        <v>14</v>
      </c>
      <c r="G25" s="2" t="s">
        <v>14</v>
      </c>
      <c r="H25" s="2" t="n">
        <f aca="false">COUNTIF(D25:G25,"P")+COUNTIF(D25:G25,"AJ")</f>
        <v>3</v>
      </c>
      <c r="I25" s="2" t="n">
        <f aca="false">COUNTIF(D25:G25,"A")</f>
        <v>1</v>
      </c>
      <c r="J25" s="2" t="n">
        <f aca="false">4-COUNTIF(D25:G25,"-")</f>
        <v>4</v>
      </c>
      <c r="K25" s="4" t="n">
        <f aca="false">IF(J25=0,"-",H25/J25)</f>
        <v>0.75</v>
      </c>
      <c r="L25" s="3"/>
    </row>
    <row r="26" customFormat="false" ht="15" hidden="false" customHeight="false" outlineLevel="0" collapsed="false">
      <c r="A26" s="2" t="n">
        <v>25</v>
      </c>
      <c r="B26" s="3" t="s">
        <v>42</v>
      </c>
      <c r="C26" s="2" t="s">
        <v>20</v>
      </c>
      <c r="D26" s="2" t="s">
        <v>13</v>
      </c>
      <c r="E26" s="2" t="s">
        <v>13</v>
      </c>
      <c r="F26" s="2" t="s">
        <v>13</v>
      </c>
      <c r="G26" s="2" t="s">
        <v>13</v>
      </c>
      <c r="H26" s="2" t="n">
        <f aca="false">COUNTIF(D26:G26,"P")+COUNTIF(D26:G26,"AJ")</f>
        <v>0</v>
      </c>
      <c r="I26" s="2" t="n">
        <f aca="false">COUNTIF(D26:G26,"A")</f>
        <v>4</v>
      </c>
      <c r="J26" s="2" t="n">
        <f aca="false">4-COUNTIF(D26:G26,"-")</f>
        <v>4</v>
      </c>
      <c r="K26" s="4" t="n">
        <f aca="false">IF(J26=0,"-",H26/J26)</f>
        <v>0</v>
      </c>
      <c r="L26" s="3"/>
    </row>
    <row r="27" customFormat="false" ht="15" hidden="false" customHeight="false" outlineLevel="0" collapsed="false">
      <c r="A27" s="2" t="n">
        <v>26</v>
      </c>
      <c r="B27" s="3" t="s">
        <v>43</v>
      </c>
      <c r="C27" s="2" t="s">
        <v>20</v>
      </c>
      <c r="D27" s="2" t="s">
        <v>13</v>
      </c>
      <c r="E27" s="2" t="s">
        <v>14</v>
      </c>
      <c r="F27" s="2" t="s">
        <v>14</v>
      </c>
      <c r="G27" s="2" t="s">
        <v>14</v>
      </c>
      <c r="H27" s="2" t="n">
        <f aca="false">COUNTIF(D27:G27,"P")+COUNTIF(D27:G27,"AJ")</f>
        <v>3</v>
      </c>
      <c r="I27" s="2" t="n">
        <f aca="false">COUNTIF(D27:G27,"A")</f>
        <v>1</v>
      </c>
      <c r="J27" s="2" t="n">
        <f aca="false">4-COUNTIF(D27:G27,"-")</f>
        <v>4</v>
      </c>
      <c r="K27" s="4" t="n">
        <f aca="false">IF(J27=0,"-",H27/J27)</f>
        <v>0.75</v>
      </c>
      <c r="L27" s="3"/>
    </row>
    <row r="28" customFormat="false" ht="15" hidden="false" customHeight="false" outlineLevel="0" collapsed="false">
      <c r="A28" s="2" t="n">
        <v>27</v>
      </c>
      <c r="B28" s="3" t="s">
        <v>44</v>
      </c>
      <c r="C28" s="2"/>
      <c r="D28" s="2" t="s">
        <v>13</v>
      </c>
      <c r="E28" s="2" t="s">
        <v>14</v>
      </c>
      <c r="F28" s="2" t="s">
        <v>13</v>
      </c>
      <c r="G28" s="2" t="s">
        <v>14</v>
      </c>
      <c r="H28" s="2" t="n">
        <f aca="false">COUNTIF(D28:G28,"P")+COUNTIF(D28:G28,"AJ")</f>
        <v>2</v>
      </c>
      <c r="I28" s="2" t="n">
        <f aca="false">COUNTIF(D28:G28,"A")</f>
        <v>2</v>
      </c>
      <c r="J28" s="2" t="n">
        <f aca="false">4-COUNTIF(D28:G28,"-")</f>
        <v>4</v>
      </c>
      <c r="K28" s="4" t="n">
        <f aca="false">IF(J28=0,"-",H28/J28)</f>
        <v>0.5</v>
      </c>
      <c r="L28" s="3"/>
    </row>
    <row r="29" customFormat="false" ht="15" hidden="false" customHeight="false" outlineLevel="0" collapsed="false">
      <c r="A29" s="2" t="n">
        <v>28</v>
      </c>
      <c r="B29" s="3" t="s">
        <v>45</v>
      </c>
      <c r="C29" s="2"/>
      <c r="D29" s="2" t="s">
        <v>13</v>
      </c>
      <c r="E29" s="2" t="s">
        <v>13</v>
      </c>
      <c r="F29" s="2" t="s">
        <v>13</v>
      </c>
      <c r="G29" s="2" t="s">
        <v>13</v>
      </c>
      <c r="H29" s="2" t="n">
        <f aca="false">COUNTIF(D29:G29,"P")+COUNTIF(D29:G29,"AJ")</f>
        <v>0</v>
      </c>
      <c r="I29" s="2" t="n">
        <f aca="false">COUNTIF(D29:G29,"A")</f>
        <v>4</v>
      </c>
      <c r="J29" s="2" t="n">
        <f aca="false">4-COUNTIF(D29:G29,"-")</f>
        <v>4</v>
      </c>
      <c r="K29" s="4" t="n">
        <f aca="false">IF(J29=0,"-",H29/J29)</f>
        <v>0</v>
      </c>
      <c r="L29" s="3"/>
    </row>
    <row r="30" customFormat="false" ht="15" hidden="false" customHeight="false" outlineLevel="0" collapsed="false">
      <c r="A30" s="2" t="n">
        <v>29</v>
      </c>
      <c r="B30" s="3" t="s">
        <v>46</v>
      </c>
      <c r="C30" s="2"/>
      <c r="D30" s="2" t="s">
        <v>13</v>
      </c>
      <c r="E30" s="2" t="s">
        <v>14</v>
      </c>
      <c r="F30" s="2" t="s">
        <v>13</v>
      </c>
      <c r="G30" s="2" t="s">
        <v>13</v>
      </c>
      <c r="H30" s="2" t="n">
        <f aca="false">COUNTIF(D30:G30,"P")+COUNTIF(D30:G30,"AJ")</f>
        <v>1</v>
      </c>
      <c r="I30" s="2" t="n">
        <f aca="false">COUNTIF(D30:G30,"A")</f>
        <v>3</v>
      </c>
      <c r="J30" s="2" t="n">
        <f aca="false">4-COUNTIF(D30:G30,"-")</f>
        <v>4</v>
      </c>
      <c r="K30" s="4" t="n">
        <f aca="false">IF(J30=0,"-",H30/J30)</f>
        <v>0.25</v>
      </c>
      <c r="L30" s="3"/>
    </row>
    <row r="31" customFormat="false" ht="15" hidden="false" customHeight="false" outlineLevel="0" collapsed="false">
      <c r="A31" s="2" t="n">
        <v>30</v>
      </c>
      <c r="B31" s="3" t="s">
        <v>47</v>
      </c>
      <c r="C31" s="2"/>
      <c r="D31" s="2" t="s">
        <v>14</v>
      </c>
      <c r="E31" s="2" t="s">
        <v>14</v>
      </c>
      <c r="F31" s="2" t="s">
        <v>14</v>
      </c>
      <c r="G31" s="2" t="s">
        <v>14</v>
      </c>
      <c r="H31" s="2" t="n">
        <f aca="false">COUNTIF(D31:G31,"P")+COUNTIF(D31:G31,"AJ")</f>
        <v>4</v>
      </c>
      <c r="I31" s="2" t="n">
        <f aca="false">COUNTIF(D31:G31,"A")</f>
        <v>0</v>
      </c>
      <c r="J31" s="2" t="n">
        <f aca="false">4-COUNTIF(D31:G31,"-")</f>
        <v>4</v>
      </c>
      <c r="K31" s="4" t="n">
        <f aca="false">IF(J31=0,"-",H31/J31)</f>
        <v>1</v>
      </c>
      <c r="L31" s="3"/>
    </row>
    <row r="32" customFormat="false" ht="15" hidden="false" customHeight="false" outlineLevel="0" collapsed="false">
      <c r="A32" s="2" t="n">
        <v>31</v>
      </c>
      <c r="B32" s="3" t="s">
        <v>48</v>
      </c>
      <c r="C32" s="2" t="s">
        <v>20</v>
      </c>
      <c r="D32" s="2" t="s">
        <v>14</v>
      </c>
      <c r="E32" s="2" t="s">
        <v>14</v>
      </c>
      <c r="F32" s="2" t="s">
        <v>14</v>
      </c>
      <c r="G32" s="2" t="s">
        <v>14</v>
      </c>
      <c r="H32" s="2" t="n">
        <f aca="false">COUNTIF(D32:G32,"P")+COUNTIF(D32:G32,"AJ")</f>
        <v>4</v>
      </c>
      <c r="I32" s="2" t="n">
        <f aca="false">COUNTIF(D32:G32,"A")</f>
        <v>0</v>
      </c>
      <c r="J32" s="2" t="n">
        <f aca="false">4-COUNTIF(D32:G32,"-")</f>
        <v>4</v>
      </c>
      <c r="K32" s="4" t="n">
        <f aca="false">IF(J32=0,"-",H32/J32)</f>
        <v>1</v>
      </c>
      <c r="L32" s="3"/>
    </row>
    <row r="33" customFormat="false" ht="15" hidden="false" customHeight="false" outlineLevel="0" collapsed="false">
      <c r="A33" s="2" t="n">
        <v>32</v>
      </c>
      <c r="B33" s="3" t="s">
        <v>49</v>
      </c>
      <c r="C33" s="2"/>
      <c r="D33" s="2" t="s">
        <v>14</v>
      </c>
      <c r="E33" s="2" t="s">
        <v>14</v>
      </c>
      <c r="F33" s="2" t="s">
        <v>14</v>
      </c>
      <c r="G33" s="2" t="s">
        <v>14</v>
      </c>
      <c r="H33" s="2" t="n">
        <f aca="false">COUNTIF(D33:G33,"P")+COUNTIF(D33:G33,"AJ")</f>
        <v>4</v>
      </c>
      <c r="I33" s="2" t="n">
        <f aca="false">COUNTIF(D33:G33,"A")</f>
        <v>0</v>
      </c>
      <c r="J33" s="2" t="n">
        <f aca="false">4-COUNTIF(D33:G33,"-")</f>
        <v>4</v>
      </c>
      <c r="K33" s="4" t="n">
        <f aca="false">IF(J33=0,"-",H33/J33)</f>
        <v>1</v>
      </c>
      <c r="L33" s="3"/>
    </row>
    <row r="34" customFormat="false" ht="15" hidden="false" customHeight="false" outlineLevel="0" collapsed="false">
      <c r="A34" s="2" t="n">
        <v>33</v>
      </c>
      <c r="B34" s="3" t="s">
        <v>50</v>
      </c>
      <c r="C34" s="2" t="s">
        <v>20</v>
      </c>
      <c r="D34" s="2" t="s">
        <v>14</v>
      </c>
      <c r="E34" s="2" t="s">
        <v>14</v>
      </c>
      <c r="F34" s="2" t="s">
        <v>14</v>
      </c>
      <c r="G34" s="2" t="s">
        <v>14</v>
      </c>
      <c r="H34" s="2" t="n">
        <f aca="false">COUNTIF(D34:G34,"P")+COUNTIF(D34:G34,"AJ")</f>
        <v>4</v>
      </c>
      <c r="I34" s="2" t="n">
        <f aca="false">COUNTIF(D34:G34,"A")</f>
        <v>0</v>
      </c>
      <c r="J34" s="2" t="n">
        <f aca="false">4-COUNTIF(D34:G34,"-")</f>
        <v>4</v>
      </c>
      <c r="K34" s="4" t="n">
        <f aca="false">IF(J34=0,"-",H34/J34)</f>
        <v>1</v>
      </c>
      <c r="L34" s="3"/>
    </row>
    <row r="35" customFormat="false" ht="15" hidden="false" customHeight="false" outlineLevel="0" collapsed="false">
      <c r="A35" s="2" t="n">
        <v>34</v>
      </c>
      <c r="B35" s="3" t="s">
        <v>51</v>
      </c>
      <c r="C35" s="2" t="s">
        <v>20</v>
      </c>
      <c r="D35" s="2" t="s">
        <v>13</v>
      </c>
      <c r="E35" s="2" t="s">
        <v>14</v>
      </c>
      <c r="F35" s="2" t="s">
        <v>13</v>
      </c>
      <c r="G35" s="2" t="s">
        <v>13</v>
      </c>
      <c r="H35" s="2" t="n">
        <f aca="false">COUNTIF(D35:G35,"P")+COUNTIF(D35:G35,"AJ")</f>
        <v>1</v>
      </c>
      <c r="I35" s="2" t="n">
        <f aca="false">COUNTIF(D35:G35,"A")</f>
        <v>3</v>
      </c>
      <c r="J35" s="2" t="n">
        <f aca="false">4-COUNTIF(D35:G35,"-")</f>
        <v>4</v>
      </c>
      <c r="K35" s="4" t="n">
        <f aca="false">IF(J35=0,"-",H35/J35)</f>
        <v>0.25</v>
      </c>
      <c r="L35" s="3"/>
    </row>
    <row r="36" customFormat="false" ht="15" hidden="false" customHeight="false" outlineLevel="0" collapsed="false">
      <c r="A36" s="2" t="n">
        <v>35</v>
      </c>
      <c r="B36" s="3" t="s">
        <v>52</v>
      </c>
      <c r="C36" s="2" t="s">
        <v>20</v>
      </c>
      <c r="D36" s="2" t="s">
        <v>13</v>
      </c>
      <c r="E36" s="2" t="s">
        <v>13</v>
      </c>
      <c r="F36" s="2" t="s">
        <v>13</v>
      </c>
      <c r="G36" s="2" t="s">
        <v>14</v>
      </c>
      <c r="H36" s="2" t="n">
        <f aca="false">COUNTIF(D36:G36,"P")+COUNTIF(D36:G36,"AJ")</f>
        <v>1</v>
      </c>
      <c r="I36" s="2" t="n">
        <f aca="false">COUNTIF(D36:G36,"A")</f>
        <v>3</v>
      </c>
      <c r="J36" s="2" t="n">
        <f aca="false">4-COUNTIF(D36:G36,"-")</f>
        <v>4</v>
      </c>
      <c r="K36" s="4" t="n">
        <f aca="false">IF(J36=0,"-",H36/J36)</f>
        <v>0.25</v>
      </c>
      <c r="L36" s="3"/>
    </row>
    <row r="37" customFormat="false" ht="15" hidden="false" customHeight="false" outlineLevel="0" collapsed="false">
      <c r="A37" s="2" t="n">
        <v>36</v>
      </c>
      <c r="B37" s="3" t="s">
        <v>53</v>
      </c>
      <c r="C37" s="2"/>
      <c r="D37" s="2" t="s">
        <v>14</v>
      </c>
      <c r="E37" s="2" t="s">
        <v>14</v>
      </c>
      <c r="F37" s="2" t="s">
        <v>13</v>
      </c>
      <c r="G37" s="2" t="s">
        <v>14</v>
      </c>
      <c r="H37" s="2" t="n">
        <f aca="false">COUNTIF(D37:G37,"P")+COUNTIF(D37:G37,"AJ")</f>
        <v>3</v>
      </c>
      <c r="I37" s="2" t="n">
        <f aca="false">COUNTIF(D37:G37,"A")</f>
        <v>1</v>
      </c>
      <c r="J37" s="2" t="n">
        <f aca="false">4-COUNTIF(D37:G37,"-")</f>
        <v>4</v>
      </c>
      <c r="K37" s="4" t="n">
        <f aca="false">IF(J37=0,"-",H37/J37)</f>
        <v>0.75</v>
      </c>
      <c r="L37" s="3"/>
    </row>
    <row r="38" customFormat="false" ht="15" hidden="false" customHeight="false" outlineLevel="0" collapsed="false">
      <c r="A38" s="2" t="n">
        <v>37</v>
      </c>
      <c r="B38" s="3" t="s">
        <v>54</v>
      </c>
      <c r="C38" s="2"/>
      <c r="D38" s="2" t="s">
        <v>13</v>
      </c>
      <c r="E38" s="2" t="s">
        <v>14</v>
      </c>
      <c r="F38" s="2" t="s">
        <v>13</v>
      </c>
      <c r="G38" s="2" t="s">
        <v>14</v>
      </c>
      <c r="H38" s="2" t="n">
        <f aca="false">COUNTIF(D38:G38,"P")+COUNTIF(D38:G38,"AJ")</f>
        <v>2</v>
      </c>
      <c r="I38" s="2" t="n">
        <f aca="false">COUNTIF(D38:G38,"A")</f>
        <v>2</v>
      </c>
      <c r="J38" s="2" t="n">
        <f aca="false">4-COUNTIF(D38:G38,"-")</f>
        <v>4</v>
      </c>
      <c r="K38" s="4" t="n">
        <f aca="false">IF(J38=0,"-",H38/J38)</f>
        <v>0.5</v>
      </c>
      <c r="L38" s="5" t="s">
        <v>55</v>
      </c>
    </row>
    <row r="39" customFormat="false" ht="15" hidden="false" customHeight="false" outlineLevel="0" collapsed="false">
      <c r="A39" s="2" t="n">
        <v>38</v>
      </c>
      <c r="B39" s="3" t="s">
        <v>56</v>
      </c>
      <c r="C39" s="2" t="s">
        <v>20</v>
      </c>
      <c r="D39" s="2" t="s">
        <v>13</v>
      </c>
      <c r="E39" s="2" t="s">
        <v>13</v>
      </c>
      <c r="F39" s="2" t="s">
        <v>13</v>
      </c>
      <c r="G39" s="2" t="s">
        <v>14</v>
      </c>
      <c r="H39" s="2" t="n">
        <f aca="false">COUNTIF(D39:G39,"P")+COUNTIF(D39:G39,"AJ")</f>
        <v>1</v>
      </c>
      <c r="I39" s="2" t="n">
        <f aca="false">COUNTIF(D39:G39,"A")</f>
        <v>3</v>
      </c>
      <c r="J39" s="2" t="n">
        <f aca="false">4-COUNTIF(D39:G39,"-")</f>
        <v>4</v>
      </c>
      <c r="K39" s="4" t="n">
        <f aca="false">IF(J39=0,"-",H39/J39)</f>
        <v>0.25</v>
      </c>
      <c r="L39" s="3"/>
    </row>
    <row r="40" customFormat="false" ht="15" hidden="false" customHeight="false" outlineLevel="0" collapsed="false">
      <c r="A40" s="2" t="n">
        <v>39</v>
      </c>
      <c r="B40" s="3" t="s">
        <v>57</v>
      </c>
      <c r="C40" s="2"/>
      <c r="D40" s="2" t="s">
        <v>14</v>
      </c>
      <c r="E40" s="2" t="s">
        <v>14</v>
      </c>
      <c r="F40" s="2" t="s">
        <v>13</v>
      </c>
      <c r="G40" s="2" t="s">
        <v>14</v>
      </c>
      <c r="H40" s="2" t="n">
        <f aca="false">COUNTIF(D40:G40,"P")+COUNTIF(D40:G40,"AJ")</f>
        <v>3</v>
      </c>
      <c r="I40" s="2" t="n">
        <f aca="false">COUNTIF(D40:G40,"A")</f>
        <v>1</v>
      </c>
      <c r="J40" s="2" t="n">
        <f aca="false">4-COUNTIF(D40:G40,"-")</f>
        <v>4</v>
      </c>
      <c r="K40" s="4" t="n">
        <f aca="false">IF(J40=0,"-",H40/J40)</f>
        <v>0.75</v>
      </c>
      <c r="L40" s="3"/>
    </row>
    <row r="41" customFormat="false" ht="15" hidden="false" customHeight="false" outlineLevel="0" collapsed="false">
      <c r="A41" s="2" t="n">
        <v>40</v>
      </c>
      <c r="B41" s="3" t="s">
        <v>58</v>
      </c>
      <c r="C41" s="2" t="s">
        <v>20</v>
      </c>
      <c r="D41" s="2" t="s">
        <v>13</v>
      </c>
      <c r="E41" s="2" t="s">
        <v>14</v>
      </c>
      <c r="F41" s="2" t="s">
        <v>13</v>
      </c>
      <c r="G41" s="2" t="s">
        <v>14</v>
      </c>
      <c r="H41" s="2" t="n">
        <f aca="false">COUNTIF(D41:G41,"P")+COUNTIF(D41:G41,"AJ")</f>
        <v>2</v>
      </c>
      <c r="I41" s="2" t="n">
        <f aca="false">COUNTIF(D41:G41,"A")</f>
        <v>2</v>
      </c>
      <c r="J41" s="2" t="n">
        <f aca="false">4-COUNTIF(D41:G41,"-")</f>
        <v>4</v>
      </c>
      <c r="K41" s="4" t="n">
        <f aca="false">IF(J41=0,"-",H41/J41)</f>
        <v>0.5</v>
      </c>
      <c r="L41" s="3"/>
    </row>
    <row r="42" customFormat="false" ht="15" hidden="false" customHeight="false" outlineLevel="0" collapsed="false">
      <c r="A42" s="2" t="n">
        <v>41</v>
      </c>
      <c r="B42" s="3" t="s">
        <v>59</v>
      </c>
      <c r="C42" s="2" t="s">
        <v>20</v>
      </c>
      <c r="D42" s="2" t="s">
        <v>14</v>
      </c>
      <c r="E42" s="2" t="s">
        <v>14</v>
      </c>
      <c r="F42" s="2" t="s">
        <v>14</v>
      </c>
      <c r="G42" s="2" t="s">
        <v>36</v>
      </c>
      <c r="H42" s="2" t="n">
        <f aca="false">COUNTIF(D42:G42,"P")+COUNTIF(D42:G42,"AJ")</f>
        <v>4</v>
      </c>
      <c r="I42" s="2" t="n">
        <f aca="false">COUNTIF(D42:G42,"A")</f>
        <v>0</v>
      </c>
      <c r="J42" s="2" t="n">
        <f aca="false">4-COUNTIF(D42:G42,"-")</f>
        <v>4</v>
      </c>
      <c r="K42" s="4" t="n">
        <f aca="false">IF(J42=0,"-",H42/J42)</f>
        <v>1</v>
      </c>
      <c r="L42" s="3"/>
    </row>
    <row r="43" customFormat="false" ht="15" hidden="false" customHeight="false" outlineLevel="0" collapsed="false">
      <c r="A43" s="2" t="n">
        <v>43</v>
      </c>
      <c r="B43" s="3" t="s">
        <v>60</v>
      </c>
      <c r="C43" s="2"/>
      <c r="D43" s="2" t="s">
        <v>14</v>
      </c>
      <c r="E43" s="2" t="s">
        <v>14</v>
      </c>
      <c r="F43" s="2" t="s">
        <v>14</v>
      </c>
      <c r="G43" s="2" t="s">
        <v>14</v>
      </c>
      <c r="H43" s="2" t="n">
        <f aca="false">COUNTIF(D43:G43,"P")+COUNTIF(D43:G43,"AJ")</f>
        <v>4</v>
      </c>
      <c r="I43" s="2" t="n">
        <f aca="false">COUNTIF(D43:G43,"A")</f>
        <v>0</v>
      </c>
      <c r="J43" s="2" t="n">
        <f aca="false">4-COUNTIF(D43:G43,"-")</f>
        <v>4</v>
      </c>
      <c r="K43" s="4" t="n">
        <f aca="false">IF(J43=0,"-",H43/J43)</f>
        <v>1</v>
      </c>
      <c r="L43" s="3"/>
    </row>
    <row r="44" customFormat="false" ht="15" hidden="false" customHeight="false" outlineLevel="0" collapsed="false">
      <c r="A44" s="2" t="n">
        <v>44</v>
      </c>
      <c r="B44" s="3" t="s">
        <v>61</v>
      </c>
      <c r="C44" s="2"/>
      <c r="D44" s="2" t="s">
        <v>13</v>
      </c>
      <c r="E44" s="2" t="s">
        <v>13</v>
      </c>
      <c r="F44" s="2" t="s">
        <v>13</v>
      </c>
      <c r="G44" s="2" t="s">
        <v>13</v>
      </c>
      <c r="H44" s="2" t="n">
        <f aca="false">COUNTIF(D44:G44,"P")+COUNTIF(D44:G44,"AJ")</f>
        <v>0</v>
      </c>
      <c r="I44" s="2" t="n">
        <f aca="false">COUNTIF(D44:G44,"A")</f>
        <v>4</v>
      </c>
      <c r="J44" s="2" t="n">
        <f aca="false">4-COUNTIF(D44:G44,"-")</f>
        <v>4</v>
      </c>
      <c r="K44" s="4" t="n">
        <f aca="false">IF(J44=0,"-",H44/J44)</f>
        <v>0</v>
      </c>
      <c r="L44" s="3"/>
    </row>
    <row r="45" customFormat="false" ht="15" hidden="false" customHeight="false" outlineLevel="0" collapsed="false">
      <c r="A45" s="2" t="n">
        <v>46</v>
      </c>
      <c r="B45" s="3" t="s">
        <v>62</v>
      </c>
      <c r="C45" s="2"/>
      <c r="D45" s="2" t="s">
        <v>13</v>
      </c>
      <c r="E45" s="2" t="s">
        <v>13</v>
      </c>
      <c r="F45" s="2" t="s">
        <v>13</v>
      </c>
      <c r="G45" s="2" t="s">
        <v>13</v>
      </c>
      <c r="H45" s="2" t="n">
        <f aca="false">COUNTIF(D45:G45,"P")+COUNTIF(D45:G45,"AJ")</f>
        <v>0</v>
      </c>
      <c r="I45" s="2" t="n">
        <f aca="false">COUNTIF(D45:G45,"A")</f>
        <v>4</v>
      </c>
      <c r="J45" s="2" t="n">
        <f aca="false">4-COUNTIF(D45:G45,"-")</f>
        <v>4</v>
      </c>
      <c r="K45" s="4" t="n">
        <f aca="false">IF(J45=0,"-",H45/J45)</f>
        <v>0</v>
      </c>
      <c r="L45" s="3"/>
    </row>
    <row r="46" customFormat="false" ht="15" hidden="false" customHeight="false" outlineLevel="0" collapsed="false">
      <c r="A46" s="2" t="n">
        <v>47</v>
      </c>
      <c r="B46" s="3" t="s">
        <v>63</v>
      </c>
      <c r="C46" s="2"/>
      <c r="D46" s="2" t="s">
        <v>14</v>
      </c>
      <c r="E46" s="2" t="s">
        <v>14</v>
      </c>
      <c r="F46" s="2" t="s">
        <v>14</v>
      </c>
      <c r="G46" s="2" t="s">
        <v>14</v>
      </c>
      <c r="H46" s="2" t="n">
        <f aca="false">COUNTIF(D46:G46,"P")+COUNTIF(D46:G46,"AJ")</f>
        <v>4</v>
      </c>
      <c r="I46" s="2" t="n">
        <f aca="false">COUNTIF(D46:G46,"A")</f>
        <v>0</v>
      </c>
      <c r="J46" s="2" t="n">
        <f aca="false">4-COUNTIF(D46:G46,"-")</f>
        <v>4</v>
      </c>
      <c r="K46" s="4" t="n">
        <f aca="false">IF(J46=0,"-",H46/J46)</f>
        <v>1</v>
      </c>
      <c r="L46" s="5" t="s">
        <v>64</v>
      </c>
    </row>
    <row r="47" customFormat="false" ht="15" hidden="false" customHeight="false" outlineLevel="0" collapsed="false">
      <c r="A47" s="2" t="n">
        <v>48</v>
      </c>
      <c r="B47" s="3" t="s">
        <v>65</v>
      </c>
      <c r="C47" s="2" t="s">
        <v>20</v>
      </c>
      <c r="D47" s="2" t="s">
        <v>13</v>
      </c>
      <c r="E47" s="2" t="s">
        <v>14</v>
      </c>
      <c r="F47" s="2" t="s">
        <v>14</v>
      </c>
      <c r="G47" s="2" t="s">
        <v>14</v>
      </c>
      <c r="H47" s="2" t="n">
        <f aca="false">COUNTIF(D47:G47,"P")+COUNTIF(D47:G47,"AJ")</f>
        <v>3</v>
      </c>
      <c r="I47" s="2" t="n">
        <f aca="false">COUNTIF(D47:G47,"A")</f>
        <v>1</v>
      </c>
      <c r="J47" s="2" t="n">
        <f aca="false">4-COUNTIF(D47:G47,"-")</f>
        <v>4</v>
      </c>
      <c r="K47" s="4" t="n">
        <f aca="false">IF(J47=0,"-",H47/J47)</f>
        <v>0.75</v>
      </c>
      <c r="L47" s="3"/>
    </row>
    <row r="48" customFormat="false" ht="15" hidden="false" customHeight="false" outlineLevel="0" collapsed="false">
      <c r="A48" s="2" t="n">
        <v>49</v>
      </c>
      <c r="B48" s="3" t="s">
        <v>66</v>
      </c>
      <c r="C48" s="2"/>
      <c r="D48" s="2" t="s">
        <v>14</v>
      </c>
      <c r="E48" s="2" t="s">
        <v>36</v>
      </c>
      <c r="F48" s="2" t="s">
        <v>36</v>
      </c>
      <c r="G48" s="2" t="s">
        <v>13</v>
      </c>
      <c r="H48" s="2" t="n">
        <f aca="false">COUNTIF(D48:G48,"P")+COUNTIF(D48:G48,"AJ")</f>
        <v>3</v>
      </c>
      <c r="I48" s="2" t="n">
        <f aca="false">COUNTIF(D48:G48,"A")</f>
        <v>1</v>
      </c>
      <c r="J48" s="2" t="n">
        <f aca="false">4-COUNTIF(D48:G48,"-")</f>
        <v>4</v>
      </c>
      <c r="K48" s="4" t="n">
        <f aca="false">IF(J48=0,"-",H48/J48)</f>
        <v>0.75</v>
      </c>
      <c r="L48" s="3"/>
    </row>
    <row r="49" customFormat="false" ht="15" hidden="false" customHeight="false" outlineLevel="0" collapsed="false">
      <c r="A49" s="2" t="n">
        <v>50</v>
      </c>
      <c r="B49" s="3" t="s">
        <v>67</v>
      </c>
      <c r="C49" s="2"/>
      <c r="D49" s="2" t="s">
        <v>14</v>
      </c>
      <c r="E49" s="2" t="s">
        <v>13</v>
      </c>
      <c r="F49" s="2" t="s">
        <v>13</v>
      </c>
      <c r="G49" s="2" t="s">
        <v>13</v>
      </c>
      <c r="H49" s="2" t="n">
        <f aca="false">COUNTIF(D49:G49,"P")+COUNTIF(D49:G49,"AJ")</f>
        <v>1</v>
      </c>
      <c r="I49" s="2" t="n">
        <f aca="false">COUNTIF(D49:G49,"A")</f>
        <v>3</v>
      </c>
      <c r="J49" s="2" t="n">
        <f aca="false">4-COUNTIF(D49:G49,"-")</f>
        <v>4</v>
      </c>
      <c r="K49" s="4" t="n">
        <f aca="false">IF(J49=0,"-",H49/J49)</f>
        <v>0.25</v>
      </c>
      <c r="L49" s="3"/>
    </row>
    <row r="50" customFormat="false" ht="15" hidden="false" customHeight="false" outlineLevel="0" collapsed="false">
      <c r="A50" s="2" t="n">
        <v>51</v>
      </c>
      <c r="B50" s="3" t="s">
        <v>68</v>
      </c>
      <c r="C50" s="2"/>
      <c r="D50" s="2" t="s">
        <v>13</v>
      </c>
      <c r="E50" s="2" t="s">
        <v>14</v>
      </c>
      <c r="F50" s="2" t="s">
        <v>13</v>
      </c>
      <c r="G50" s="2" t="s">
        <v>14</v>
      </c>
      <c r="H50" s="2" t="n">
        <f aca="false">COUNTIF(D50:G50,"P")+COUNTIF(D50:G50,"AJ")</f>
        <v>2</v>
      </c>
      <c r="I50" s="2" t="n">
        <f aca="false">COUNTIF(D50:G50,"A")</f>
        <v>2</v>
      </c>
      <c r="J50" s="2" t="n">
        <f aca="false">4-COUNTIF(D50:G50,"-")</f>
        <v>4</v>
      </c>
      <c r="K50" s="4" t="n">
        <f aca="false">IF(J50=0,"-",H50/J50)</f>
        <v>0.5</v>
      </c>
      <c r="L50" s="3"/>
    </row>
    <row r="51" customFormat="false" ht="15" hidden="false" customHeight="false" outlineLevel="0" collapsed="false">
      <c r="A51" s="2" t="n">
        <v>52</v>
      </c>
      <c r="B51" s="3" t="s">
        <v>69</v>
      </c>
      <c r="C51" s="2"/>
      <c r="D51" s="2" t="s">
        <v>13</v>
      </c>
      <c r="E51" s="2" t="s">
        <v>14</v>
      </c>
      <c r="F51" s="2" t="s">
        <v>13</v>
      </c>
      <c r="G51" s="2" t="s">
        <v>13</v>
      </c>
      <c r="H51" s="2" t="n">
        <f aca="false">COUNTIF(D51:G51,"P")+COUNTIF(D51:G51,"AJ")</f>
        <v>1</v>
      </c>
      <c r="I51" s="2" t="n">
        <f aca="false">COUNTIF(D51:G51,"A")</f>
        <v>3</v>
      </c>
      <c r="J51" s="2" t="n">
        <f aca="false">4-COUNTIF(D51:G51,"-")</f>
        <v>4</v>
      </c>
      <c r="K51" s="4" t="n">
        <f aca="false">IF(J51=0,"-",H51/J51)</f>
        <v>0.25</v>
      </c>
      <c r="L51" s="3"/>
    </row>
  </sheetData>
  <dataValidations count="1">
    <dataValidation allowBlank="true" errorStyle="stop" operator="between" showDropDown="false" showErrorMessage="false" showInputMessage="false" sqref="D2:G51" type="list">
      <formula1>"P,AJ,A,-"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90"/>
  </cols>
  <sheetData>
    <row r="1" customFormat="false" ht="15" hidden="false" customHeight="false" outlineLevel="0" collapsed="false">
      <c r="A1" s="6" t="s">
        <v>70</v>
      </c>
      <c r="B1" s="6" t="s">
        <v>71</v>
      </c>
    </row>
    <row r="2" customFormat="false" ht="15" hidden="false" customHeight="false" outlineLevel="0" collapsed="false">
      <c r="A2" s="7" t="s">
        <v>14</v>
      </c>
      <c r="B2" s="7" t="s">
        <v>72</v>
      </c>
    </row>
    <row r="3" customFormat="false" ht="26.85" hidden="false" customHeight="false" outlineLevel="0" collapsed="false">
      <c r="A3" s="7" t="s">
        <v>36</v>
      </c>
      <c r="B3" s="7" t="s">
        <v>73</v>
      </c>
    </row>
    <row r="4" customFormat="false" ht="15" hidden="false" customHeight="false" outlineLevel="0" collapsed="false">
      <c r="A4" s="7" t="s">
        <v>13</v>
      </c>
      <c r="B4" s="7" t="s">
        <v>74</v>
      </c>
    </row>
    <row r="5" customFormat="false" ht="15" hidden="false" customHeight="false" outlineLevel="0" collapsed="false">
      <c r="A5" s="7" t="s">
        <v>75</v>
      </c>
      <c r="B5" s="7" t="s">
        <v>76</v>
      </c>
    </row>
    <row r="6" customFormat="false" ht="15" hidden="false" customHeight="false" outlineLevel="0" collapsed="false">
      <c r="A6" s="7"/>
      <c r="B6" s="7"/>
    </row>
    <row r="7" customFormat="false" ht="26.85" hidden="false" customHeight="false" outlineLevel="0" collapsed="false">
      <c r="A7" s="8" t="s">
        <v>77</v>
      </c>
      <c r="B7" s="7" t="s">
        <v>78</v>
      </c>
    </row>
    <row r="8" customFormat="false" ht="15" hidden="false" customHeight="false" outlineLevel="0" collapsed="false">
      <c r="A8" s="7"/>
      <c r="B8" s="7"/>
    </row>
    <row r="9" customFormat="false" ht="26.85" hidden="false" customHeight="false" outlineLevel="0" collapsed="false">
      <c r="A9" s="8" t="s">
        <v>79</v>
      </c>
      <c r="B9" s="7"/>
    </row>
    <row r="10" customFormat="false" ht="26.85" hidden="false" customHeight="false" outlineLevel="0" collapsed="false">
      <c r="A10" s="7" t="s">
        <v>80</v>
      </c>
      <c r="B10" s="7" t="s">
        <v>81</v>
      </c>
    </row>
    <row r="11" customFormat="false" ht="26.85" hidden="false" customHeight="false" outlineLevel="0" collapsed="false">
      <c r="A11" s="7" t="s">
        <v>82</v>
      </c>
      <c r="B11" s="7" t="s">
        <v>83</v>
      </c>
    </row>
    <row r="12" customFormat="false" ht="39.55" hidden="false" customHeight="false" outlineLevel="0" collapsed="false">
      <c r="A12" s="7" t="s">
        <v>84</v>
      </c>
      <c r="B12" s="7" t="s">
        <v>85</v>
      </c>
    </row>
    <row r="13" customFormat="false" ht="26.85" hidden="false" customHeight="false" outlineLevel="0" collapsed="false">
      <c r="A13" s="7" t="s">
        <v>86</v>
      </c>
      <c r="B13" s="7" t="s">
        <v>87</v>
      </c>
    </row>
    <row r="14" customFormat="false" ht="15" hidden="false" customHeight="false" outlineLevel="0" collapsed="false">
      <c r="A14" s="7" t="s">
        <v>88</v>
      </c>
      <c r="B14" s="7" t="s">
        <v>89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2026-08-17T14:17:25Z</dcterms:created>
  <dc:creator>openpyxl</dc:creator>
  <dc:description/>
  <dc:language>en-US</dc:language>
  <cp:lastModifiedBy/>
  <dcterms:modified xsi:type="dcterms:W3CDTF">2026-08-17T14:17:25Z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