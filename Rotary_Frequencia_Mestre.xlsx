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equência" sheetId="1" state="visible" r:id="rId3"/>
    <sheet name="Leg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<sst xmlns="http://schemas.openxmlformats.org/spreadsheetml/2006/main" count="506" uniqueCount="90">
  <si>
    <t xml:space="preserve">Nº</t>
  </si>
  <si>
    <t xml:space="preserve">Nome</t>
  </si>
  <si>
    <t xml:space="preserve">Dispensado (*)</t>
  </si>
  <si>
    <t xml:space="preserve">07/07/2026</t>
  </si>
  <si>
    <t xml:space="preserve">14/07/2026</t>
  </si>
  <si>
    <t xml:space="preserve">21/07/2026</t>
  </si>
  <si>
    <t xml:space="preserve">28/07/2026</t>
  </si>
  <si>
    <t xml:space="preserve">04/08/2026</t>
  </si>
  <si>
    <t xml:space="preserve">11/08/2026</t>
  </si>
  <si>
    <t xml:space="preserve">18/08/2026</t>
  </si>
  <si>
    <t xml:space="preserve">25/08/2026</t>
  </si>
  <si>
    <t xml:space="preserve">Pontos</t>
  </si>
  <si>
    <t xml:space="preserve">Faltas Não Justificadas</t>
  </si>
  <si>
    <t xml:space="preserve">Reuniões Válidas</t>
  </si>
  <si>
    <t xml:space="preserve">% Presença</t>
  </si>
  <si>
    <t xml:space="preserve">Observações</t>
  </si>
  <si>
    <t xml:space="preserve">Adauto Alves Franco Junior</t>
  </si>
  <si>
    <t xml:space="preserve">A</t>
  </si>
  <si>
    <t xml:space="preserve">P</t>
  </si>
  <si>
    <t xml:space="preserve">André Campana Correia Leite</t>
  </si>
  <si>
    <t xml:space="preserve">Albertony Santos Assis</t>
  </si>
  <si>
    <t xml:space="preserve">Nome grafado 'SSSIS - Tony' na 1a lista</t>
  </si>
  <si>
    <t xml:space="preserve">Alpiniano Reis Oliveira Filho</t>
  </si>
  <si>
    <t xml:space="preserve">André Fernandes Dórea</t>
  </si>
  <si>
    <t xml:space="preserve">*</t>
  </si>
  <si>
    <t xml:space="preserve">Antônio Washington F. de Almeida</t>
  </si>
  <si>
    <t xml:space="preserve">Antônio José de Carvalho Monteiro</t>
  </si>
  <si>
    <t xml:space="preserve">Nome com apelido '-Toni' na 1a lista</t>
  </si>
  <si>
    <t xml:space="preserve">Alexandre Tarquínio Lara Medrado</t>
  </si>
  <si>
    <t xml:space="preserve">Bruno de Nunes Silva</t>
  </si>
  <si>
    <t xml:space="preserve">Carlos Olimpio Ferraz Ribeiro Junior</t>
  </si>
  <si>
    <t xml:space="preserve">Claudiana de Souza Santos Carvalho</t>
  </si>
  <si>
    <t xml:space="preserve">Cleber Chagas Gonçalves</t>
  </si>
  <si>
    <t xml:space="preserve">Cristiano Almeida de Oliveira</t>
  </si>
  <si>
    <t xml:space="preserve">Cristina Fernandes da Cruz Dórea</t>
  </si>
  <si>
    <t xml:space="preserve">Dázio Brasileiro Filho</t>
  </si>
  <si>
    <t xml:space="preserve">Deonilso Aparecido Bueno de Oliveira</t>
  </si>
  <si>
    <t xml:space="preserve">Dion Luciano Vital</t>
  </si>
  <si>
    <t xml:space="preserve">Edivaldo Rodrigues Santana</t>
  </si>
  <si>
    <t xml:space="preserve">Eliana Mattos de Amorim Bueno</t>
  </si>
  <si>
    <t xml:space="preserve">AJ</t>
  </si>
  <si>
    <t xml:space="preserve">Fernanda Bulcão Palmeira</t>
  </si>
  <si>
    <t xml:space="preserve">Fernando Gassmann Figueiredo</t>
  </si>
  <si>
    <t xml:space="preserve">Hugo da Cruz Dórea</t>
  </si>
  <si>
    <t xml:space="preserve">Ítalo Almeida de Moura</t>
  </si>
  <si>
    <t xml:space="preserve">Jeidson Antônio Morais Marques</t>
  </si>
  <si>
    <t xml:space="preserve">João Baptista Ferreira</t>
  </si>
  <si>
    <t xml:space="preserve">João Barreto</t>
  </si>
  <si>
    <t xml:space="preserve">Jolival Alves Soares</t>
  </si>
  <si>
    <t xml:space="preserve">José Adson Santos Rubem</t>
  </si>
  <si>
    <t xml:space="preserve">José Carlos Oliveira Bispo</t>
  </si>
  <si>
    <t xml:space="preserve">José Carlos Rodrigues</t>
  </si>
  <si>
    <t xml:space="preserve">José de Anchieta Leite</t>
  </si>
  <si>
    <t xml:space="preserve">José Geraldo Lopes Siqueira</t>
  </si>
  <si>
    <t xml:space="preserve">José Raimundo Pereira de Azevedo</t>
  </si>
  <si>
    <t xml:space="preserve">José Rosa Figueiredo Filho</t>
  </si>
  <si>
    <t xml:space="preserve">Luiz da Costa Neto</t>
  </si>
  <si>
    <t xml:space="preserve">Márcio Lara Medrado</t>
  </si>
  <si>
    <t xml:space="preserve">Maria Clécia Vasconcelos</t>
  </si>
  <si>
    <t xml:space="preserve">Grafada 'V. de M.F. Costa' na 1a lista - confirmado que e a mesma pessoa</t>
  </si>
  <si>
    <t xml:space="preserve">Miguel Fernandes Dórea</t>
  </si>
  <si>
    <t xml:space="preserve">Moisés de Santana Silva</t>
  </si>
  <si>
    <t xml:space="preserve">Nilson Coelho Lopes</t>
  </si>
  <si>
    <t xml:space="preserve">Paulo Barreto dos Santos</t>
  </si>
  <si>
    <t xml:space="preserve">Renato Ribeiro da Silva</t>
  </si>
  <si>
    <t xml:space="preserve">Ricardo Gassmann Figueiredo</t>
  </si>
  <si>
    <t xml:space="preserve">Ronald de Freitas Paixão</t>
  </si>
  <si>
    <t xml:space="preserve">Roseli Rodrigues da Silva</t>
  </si>
  <si>
    <t xml:space="preserve">Grafada 'de Jesus - Rose' na 1a lista</t>
  </si>
  <si>
    <t xml:space="preserve">Ruy Sandes Leal</t>
  </si>
  <si>
    <t xml:space="preserve">Ruy Sandes Leal Junior</t>
  </si>
  <si>
    <t xml:space="preserve">Waldécio dos Santos Vita</t>
  </si>
  <si>
    <t xml:space="preserve">Vinícius Guedes Rios</t>
  </si>
  <si>
    <t xml:space="preserve">Yolanda Nati Gassmann Figueiredo</t>
  </si>
  <si>
    <t xml:space="preserve">Código</t>
  </si>
  <si>
    <t xml:space="preserve">Significado</t>
  </si>
  <si>
    <t xml:space="preserve">Presente (assinou a lista de frequência) — soma 1 ponto</t>
  </si>
  <si>
    <t xml:space="preserve">Ausente com falta justificada (marcou 'Sim' no campo Falta Justificada) — soma 1 ponto, conta como presença</t>
  </si>
  <si>
    <t xml:space="preserve">Ausente sem justificativa — 0 ponto, conta como falta</t>
  </si>
  <si>
    <t xml:space="preserve">-</t>
  </si>
  <si>
    <t xml:space="preserve">Reunião em que a pessoa não constava na lista de frequência (ex.: entrou/saiu do quadro)</t>
  </si>
  <si>
    <t xml:space="preserve">(*) na coluna Dispensado</t>
  </si>
  <si>
    <t xml:space="preserve">Sócio dispensado de frequência (Idade + Tempo de Rotary ≥ 85 anos) — pontua normalmente, marcação só informativa</t>
  </si>
  <si>
    <t xml:space="preserve">Decisões e histórico</t>
  </si>
  <si>
    <t xml:space="preserve">Primeira lista veio sem a coluna Falta Justificada preenchida em 5 linhas (irregularidade pontual).</t>
  </si>
  <si>
    <t xml:space="preserve">17/08/2026</t>
  </si>
  <si>
    <t xml:space="preserve">Eliana Mattos de Amorim Bueno: 14/07 e 21/07 corrigidas de A para AJ (falta justificada, doença).</t>
  </si>
  <si>
    <t xml:space="preserve">Ruy Sandes Leal Junior: 28/07 corrigido de A para P (confirmado pelo Jefferson).</t>
  </si>
  <si>
    <t xml:space="preserve">18/09/2026</t>
  </si>
  <si>
    <t xml:space="preserve">Colunas de agosto (04/08, 11/08, 18/08, 25/08) adicionadas. Leitura feita a partir da lista "Checada" (com marca-texto amarelo indicando quem esteve presente, marcado por quem coletou as assinaturas) — não mais só pela assinatura. Quando o campo "Falta Justificada: Sim" está marcado, ele é sempre soberano sobre o marca-texto/assinatura (define AJ mesmo se a pessoa estiver pintada como presente). A lista pública do site (sem marca-texto) é um documento à parte.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</si>
</sst>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A6FA5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6FA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11" min="4" style="0" width="10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40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n">
        <v>1</v>
      </c>
      <c r="B2" s="2" t="s">
        <v>16</v>
      </c>
      <c r="C2" s="2"/>
      <c r="D2" s="3" t="s">
        <v>17</v>
      </c>
      <c r="E2" s="3" t="s">
        <v>18</v>
      </c>
      <c r="F2" s="3" t="s">
        <v>18</v>
      </c>
      <c r="G2" s="3" t="s">
        <v>18</v>
      </c>
      <c r="H2" s="3" t="s">
        <v>18</v>
      </c>
      <c r="I2" s="3" t="s">
        <v>18</v>
      </c>
      <c r="J2" s="3" t="s">
        <v>18</v>
      </c>
      <c r="K2" s="3" t="s">
        <v>18</v>
      </c>
      <c r="L2" s="2" t="n">
        <f aca="false">COUNTIF(D2:K2,"P")+COUNTIF(D2:K2,"AJ")</f>
        <v>7</v>
      </c>
      <c r="M2" s="2" t="n">
        <f aca="false">COUNTIF(D2:K2,"A")</f>
        <v>1</v>
      </c>
      <c r="N2" s="2" t="n">
        <f aca="false">8-COUNTIF(D2:K2,"-")</f>
        <v>8</v>
      </c>
      <c r="O2" s="4" t="n">
        <f aca="false">IF(N2=0,"-",L2/N2)</f>
        <v>0.875</v>
      </c>
      <c r="P2" s="2"/>
    </row>
    <row r="3" customFormat="false" ht="15" hidden="false" customHeight="false" outlineLevel="0" collapsed="false">
      <c r="A3" s="2" t="n">
        <v>2</v>
      </c>
      <c r="B3" s="2" t="s">
        <v>19</v>
      </c>
      <c r="C3" s="2"/>
      <c r="D3" s="3" t="s">
        <v>17</v>
      </c>
      <c r="E3" s="3" t="s">
        <v>18</v>
      </c>
      <c r="F3" s="3" t="s">
        <v>18</v>
      </c>
      <c r="G3" s="3" t="s">
        <v>18</v>
      </c>
      <c r="H3" s="3" t="s">
        <v>18</v>
      </c>
      <c r="I3" s="3" t="s">
        <v>18</v>
      </c>
      <c r="J3" s="3" t="s">
        <v>18</v>
      </c>
      <c r="K3" s="3" t="s">
        <v>18</v>
      </c>
      <c r="L3" s="2" t="n">
        <f aca="false">COUNTIF(D3:K3,"P")+COUNTIF(D3:K3,"AJ")</f>
        <v>7</v>
      </c>
      <c r="M3" s="2" t="n">
        <f aca="false">COUNTIF(D3:K3,"A")</f>
        <v>1</v>
      </c>
      <c r="N3" s="2" t="n">
        <f aca="false">8-COUNTIF(D3:K3,"-")</f>
        <v>8</v>
      </c>
      <c r="O3" s="4" t="n">
        <f aca="false">IF(N3=0,"-",L3/N3)</f>
        <v>0.875</v>
      </c>
      <c r="P3" s="2"/>
    </row>
    <row r="4" customFormat="false" ht="15" hidden="false" customHeight="false" outlineLevel="0" collapsed="false">
      <c r="A4" s="2" t="n">
        <v>3</v>
      </c>
      <c r="B4" s="2" t="s">
        <v>20</v>
      </c>
      <c r="C4" s="2"/>
      <c r="D4" s="3" t="s">
        <v>18</v>
      </c>
      <c r="E4" s="3" t="s">
        <v>18</v>
      </c>
      <c r="F4" s="3" t="s">
        <v>17</v>
      </c>
      <c r="G4" s="3" t="s">
        <v>18</v>
      </c>
      <c r="H4" s="3" t="s">
        <v>18</v>
      </c>
      <c r="I4" s="3" t="s">
        <v>17</v>
      </c>
      <c r="J4" s="3" t="s">
        <v>18</v>
      </c>
      <c r="K4" s="3" t="s">
        <v>18</v>
      </c>
      <c r="L4" s="2" t="n">
        <f aca="false">COUNTIF(D4:K4,"P")+COUNTIF(D4:K4,"AJ")</f>
        <v>6</v>
      </c>
      <c r="M4" s="2" t="n">
        <f aca="false">COUNTIF(D4:K4,"A")</f>
        <v>2</v>
      </c>
      <c r="N4" s="2" t="n">
        <f aca="false">8-COUNTIF(D4:K4,"-")</f>
        <v>8</v>
      </c>
      <c r="O4" s="4" t="n">
        <f aca="false">IF(N4=0,"-",L4/N4)</f>
        <v>0.75</v>
      </c>
      <c r="P4" s="2" t="s">
        <v>21</v>
      </c>
    </row>
    <row r="5" customFormat="false" ht="15" hidden="false" customHeight="false" outlineLevel="0" collapsed="false">
      <c r="A5" s="2" t="n">
        <v>4</v>
      </c>
      <c r="B5" s="2" t="s">
        <v>22</v>
      </c>
      <c r="C5" s="2"/>
      <c r="D5" s="3" t="s">
        <v>17</v>
      </c>
      <c r="E5" s="3" t="s">
        <v>18</v>
      </c>
      <c r="F5" s="3" t="s">
        <v>18</v>
      </c>
      <c r="G5" s="3" t="s">
        <v>18</v>
      </c>
      <c r="H5" s="3" t="s">
        <v>18</v>
      </c>
      <c r="I5" s="3" t="s">
        <v>18</v>
      </c>
      <c r="J5" s="3" t="s">
        <v>18</v>
      </c>
      <c r="K5" s="3" t="s">
        <v>18</v>
      </c>
      <c r="L5" s="2" t="n">
        <f aca="false">COUNTIF(D5:K5,"P")+COUNTIF(D5:K5,"AJ")</f>
        <v>7</v>
      </c>
      <c r="M5" s="2" t="n">
        <f aca="false">COUNTIF(D5:K5,"A")</f>
        <v>1</v>
      </c>
      <c r="N5" s="2" t="n">
        <f aca="false">8-COUNTIF(D5:K5,"-")</f>
        <v>8</v>
      </c>
      <c r="O5" s="4" t="n">
        <f aca="false">IF(N5=0,"-",L5/N5)</f>
        <v>0.875</v>
      </c>
      <c r="P5" s="2"/>
    </row>
    <row r="6" customFormat="false" ht="15" hidden="false" customHeight="false" outlineLevel="0" collapsed="false">
      <c r="A6" s="2" t="n">
        <v>5</v>
      </c>
      <c r="B6" s="2" t="s">
        <v>23</v>
      </c>
      <c r="C6" s="2" t="s">
        <v>24</v>
      </c>
      <c r="D6" s="3" t="s">
        <v>17</v>
      </c>
      <c r="E6" s="3" t="s">
        <v>18</v>
      </c>
      <c r="F6" s="3" t="s">
        <v>18</v>
      </c>
      <c r="G6" s="3" t="s">
        <v>18</v>
      </c>
      <c r="H6" s="3" t="s">
        <v>18</v>
      </c>
      <c r="I6" s="3" t="s">
        <v>18</v>
      </c>
      <c r="J6" s="3" t="s">
        <v>18</v>
      </c>
      <c r="K6" s="3" t="s">
        <v>18</v>
      </c>
      <c r="L6" s="2" t="n">
        <f aca="false">COUNTIF(D6:K6,"P")+COUNTIF(D6:K6,"AJ")</f>
        <v>7</v>
      </c>
      <c r="M6" s="2" t="n">
        <f aca="false">COUNTIF(D6:K6,"A")</f>
        <v>1</v>
      </c>
      <c r="N6" s="2" t="n">
        <f aca="false">8-COUNTIF(D6:K6,"-")</f>
        <v>8</v>
      </c>
      <c r="O6" s="4" t="n">
        <f aca="false">IF(N6=0,"-",L6/N6)</f>
        <v>0.875</v>
      </c>
      <c r="P6" s="2"/>
    </row>
    <row r="7" customFormat="false" ht="15" hidden="false" customHeight="false" outlineLevel="0" collapsed="false">
      <c r="A7" s="2" t="n">
        <v>6</v>
      </c>
      <c r="B7" s="2" t="s">
        <v>25</v>
      </c>
      <c r="C7" s="2" t="s">
        <v>24</v>
      </c>
      <c r="D7" s="3" t="s">
        <v>18</v>
      </c>
      <c r="E7" s="3" t="s">
        <v>18</v>
      </c>
      <c r="F7" s="3" t="s">
        <v>18</v>
      </c>
      <c r="G7" s="3" t="s">
        <v>18</v>
      </c>
      <c r="H7" s="3" t="s">
        <v>17</v>
      </c>
      <c r="I7" s="3" t="s">
        <v>17</v>
      </c>
      <c r="J7" s="3" t="s">
        <v>17</v>
      </c>
      <c r="K7" s="3" t="s">
        <v>18</v>
      </c>
      <c r="L7" s="2" t="n">
        <f aca="false">COUNTIF(D7:K7,"P")+COUNTIF(D7:K7,"AJ")</f>
        <v>5</v>
      </c>
      <c r="M7" s="2" t="n">
        <f aca="false">COUNTIF(D7:K7,"A")</f>
        <v>3</v>
      </c>
      <c r="N7" s="2" t="n">
        <f aca="false">8-COUNTIF(D7:K7,"-")</f>
        <v>8</v>
      </c>
      <c r="O7" s="4" t="n">
        <f aca="false">IF(N7=0,"-",L7/N7)</f>
        <v>0.625</v>
      </c>
      <c r="P7" s="2"/>
    </row>
    <row r="8" customFormat="false" ht="15" hidden="false" customHeight="false" outlineLevel="0" collapsed="false">
      <c r="A8" s="2" t="n">
        <v>7</v>
      </c>
      <c r="B8" s="2" t="s">
        <v>26</v>
      </c>
      <c r="C8" s="2"/>
      <c r="D8" s="3" t="s">
        <v>18</v>
      </c>
      <c r="E8" s="3" t="s">
        <v>18</v>
      </c>
      <c r="F8" s="3" t="s">
        <v>17</v>
      </c>
      <c r="G8" s="3" t="s">
        <v>18</v>
      </c>
      <c r="H8" s="3" t="s">
        <v>18</v>
      </c>
      <c r="I8" s="3" t="s">
        <v>18</v>
      </c>
      <c r="J8" s="3" t="s">
        <v>18</v>
      </c>
      <c r="K8" s="3" t="s">
        <v>18</v>
      </c>
      <c r="L8" s="2" t="n">
        <f aca="false">COUNTIF(D8:K8,"P")+COUNTIF(D8:K8,"AJ")</f>
        <v>7</v>
      </c>
      <c r="M8" s="2" t="n">
        <f aca="false">COUNTIF(D8:K8,"A")</f>
        <v>1</v>
      </c>
      <c r="N8" s="2" t="n">
        <f aca="false">8-COUNTIF(D8:K8,"-")</f>
        <v>8</v>
      </c>
      <c r="O8" s="4" t="n">
        <f aca="false">IF(N8=0,"-",L8/N8)</f>
        <v>0.875</v>
      </c>
      <c r="P8" s="2" t="s">
        <v>27</v>
      </c>
    </row>
    <row r="9" customFormat="false" ht="15" hidden="false" customHeight="false" outlineLevel="0" collapsed="false">
      <c r="A9" s="2" t="n">
        <v>8</v>
      </c>
      <c r="B9" s="2" t="s">
        <v>28</v>
      </c>
      <c r="C9" s="2"/>
      <c r="D9" s="3" t="s">
        <v>18</v>
      </c>
      <c r="E9" s="3" t="s">
        <v>17</v>
      </c>
      <c r="F9" s="3" t="s">
        <v>17</v>
      </c>
      <c r="G9" s="3" t="s">
        <v>18</v>
      </c>
      <c r="H9" s="3" t="s">
        <v>17</v>
      </c>
      <c r="I9" s="3" t="s">
        <v>17</v>
      </c>
      <c r="J9" s="3" t="s">
        <v>17</v>
      </c>
      <c r="K9" s="3" t="s">
        <v>17</v>
      </c>
      <c r="L9" s="2" t="n">
        <f aca="false">COUNTIF(D9:K9,"P")+COUNTIF(D9:K9,"AJ")</f>
        <v>2</v>
      </c>
      <c r="M9" s="2" t="n">
        <f aca="false">COUNTIF(D9:K9,"A")</f>
        <v>6</v>
      </c>
      <c r="N9" s="2" t="n">
        <f aca="false">8-COUNTIF(D9:K9,"-")</f>
        <v>8</v>
      </c>
      <c r="O9" s="4" t="n">
        <f aca="false">IF(N9=0,"-",L9/N9)</f>
        <v>0.25</v>
      </c>
      <c r="P9" s="2"/>
    </row>
    <row r="10" customFormat="false" ht="15" hidden="false" customHeight="false" outlineLevel="0" collapsed="false">
      <c r="A10" s="2" t="n">
        <v>9</v>
      </c>
      <c r="B10" s="2" t="s">
        <v>29</v>
      </c>
      <c r="C10" s="2"/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2" t="n">
        <f aca="false">COUNTIF(D10:K10,"P")+COUNTIF(D10:K10,"AJ")</f>
        <v>8</v>
      </c>
      <c r="M10" s="2" t="n">
        <f aca="false">COUNTIF(D10:K10,"A")</f>
        <v>0</v>
      </c>
      <c r="N10" s="2" t="n">
        <f aca="false">8-COUNTIF(D10:K10,"-")</f>
        <v>8</v>
      </c>
      <c r="O10" s="4" t="n">
        <f aca="false">IF(N10=0,"-",L10/N10)</f>
        <v>1</v>
      </c>
      <c r="P10" s="2"/>
    </row>
    <row r="11" customFormat="false" ht="15" hidden="false" customHeight="false" outlineLevel="0" collapsed="false">
      <c r="A11" s="2" t="n">
        <v>10</v>
      </c>
      <c r="B11" s="2" t="s">
        <v>30</v>
      </c>
      <c r="C11" s="2"/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2" t="n">
        <f aca="false">COUNTIF(D11:K11,"P")+COUNTIF(D11:K11,"AJ")</f>
        <v>0</v>
      </c>
      <c r="M11" s="2" t="n">
        <f aca="false">COUNTIF(D11:K11,"A")</f>
        <v>8</v>
      </c>
      <c r="N11" s="2" t="n">
        <f aca="false">8-COUNTIF(D11:K11,"-")</f>
        <v>8</v>
      </c>
      <c r="O11" s="4" t="n">
        <f aca="false">IF(N11=0,"-",L11/N11)</f>
        <v>0</v>
      </c>
      <c r="P11" s="2"/>
    </row>
    <row r="12" customFormat="false" ht="15" hidden="false" customHeight="false" outlineLevel="0" collapsed="false">
      <c r="A12" s="2" t="n">
        <v>11</v>
      </c>
      <c r="B12" s="2" t="s">
        <v>31</v>
      </c>
      <c r="C12" s="2"/>
      <c r="D12" s="3" t="s">
        <v>17</v>
      </c>
      <c r="E12" s="3" t="s">
        <v>18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18</v>
      </c>
      <c r="K12" s="3" t="s">
        <v>17</v>
      </c>
      <c r="L12" s="2" t="n">
        <f aca="false">COUNTIF(D12:K12,"P")+COUNTIF(D12:K12,"AJ")</f>
        <v>2</v>
      </c>
      <c r="M12" s="2" t="n">
        <f aca="false">COUNTIF(D12:K12,"A")</f>
        <v>6</v>
      </c>
      <c r="N12" s="2" t="n">
        <f aca="false">8-COUNTIF(D12:K12,"-")</f>
        <v>8</v>
      </c>
      <c r="O12" s="4" t="n">
        <f aca="false">IF(N12=0,"-",L12/N12)</f>
        <v>0.25</v>
      </c>
      <c r="P12" s="2"/>
    </row>
    <row r="13" customFormat="false" ht="15" hidden="false" customHeight="false" outlineLevel="0" collapsed="false">
      <c r="A13" s="2" t="n">
        <v>12</v>
      </c>
      <c r="B13" s="2" t="s">
        <v>32</v>
      </c>
      <c r="C13" s="2"/>
      <c r="D13" s="3" t="s">
        <v>17</v>
      </c>
      <c r="E13" s="3" t="s">
        <v>18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18</v>
      </c>
      <c r="L13" s="2" t="n">
        <f aca="false">COUNTIF(D13:K13,"P")+COUNTIF(D13:K13,"AJ")</f>
        <v>2</v>
      </c>
      <c r="M13" s="2" t="n">
        <f aca="false">COUNTIF(D13:K13,"A")</f>
        <v>6</v>
      </c>
      <c r="N13" s="2" t="n">
        <f aca="false">8-COUNTIF(D13:K13,"-")</f>
        <v>8</v>
      </c>
      <c r="O13" s="4" t="n">
        <f aca="false">IF(N13=0,"-",L13/N13)</f>
        <v>0.25</v>
      </c>
      <c r="P13" s="2"/>
    </row>
    <row r="14" customFormat="false" ht="15" hidden="false" customHeight="false" outlineLevel="0" collapsed="false">
      <c r="A14" s="2" t="n">
        <v>13</v>
      </c>
      <c r="B14" s="2" t="s">
        <v>33</v>
      </c>
      <c r="C14" s="2"/>
      <c r="D14" s="3" t="s">
        <v>18</v>
      </c>
      <c r="E14" s="3" t="s">
        <v>18</v>
      </c>
      <c r="F14" s="3" t="s">
        <v>17</v>
      </c>
      <c r="G14" s="3" t="s">
        <v>17</v>
      </c>
      <c r="H14" s="3" t="s">
        <v>18</v>
      </c>
      <c r="I14" s="3" t="s">
        <v>17</v>
      </c>
      <c r="J14" s="3" t="s">
        <v>17</v>
      </c>
      <c r="K14" s="3" t="s">
        <v>17</v>
      </c>
      <c r="L14" s="2" t="n">
        <f aca="false">COUNTIF(D14:K14,"P")+COUNTIF(D14:K14,"AJ")</f>
        <v>3</v>
      </c>
      <c r="M14" s="2" t="n">
        <f aca="false">COUNTIF(D14:K14,"A")</f>
        <v>5</v>
      </c>
      <c r="N14" s="2" t="n">
        <f aca="false">8-COUNTIF(D14:K14,"-")</f>
        <v>8</v>
      </c>
      <c r="O14" s="4" t="n">
        <f aca="false">IF(N14=0,"-",L14/N14)</f>
        <v>0.375</v>
      </c>
      <c r="P14" s="2"/>
    </row>
    <row r="15" customFormat="false" ht="15" hidden="false" customHeight="false" outlineLevel="0" collapsed="false">
      <c r="A15" s="2" t="n">
        <v>14</v>
      </c>
      <c r="B15" s="2" t="s">
        <v>34</v>
      </c>
      <c r="C15" s="2"/>
      <c r="D15" s="3" t="s">
        <v>18</v>
      </c>
      <c r="E15" s="3" t="s">
        <v>17</v>
      </c>
      <c r="F15" s="3" t="s">
        <v>18</v>
      </c>
      <c r="G15" s="3" t="s">
        <v>18</v>
      </c>
      <c r="H15" s="3" t="s">
        <v>17</v>
      </c>
      <c r="I15" s="3" t="s">
        <v>17</v>
      </c>
      <c r="J15" s="3" t="s">
        <v>17</v>
      </c>
      <c r="K15" s="3" t="s">
        <v>17</v>
      </c>
      <c r="L15" s="2" t="n">
        <f aca="false">COUNTIF(D15:K15,"P")+COUNTIF(D15:K15,"AJ")</f>
        <v>3</v>
      </c>
      <c r="M15" s="2" t="n">
        <f aca="false">COUNTIF(D15:K15,"A")</f>
        <v>5</v>
      </c>
      <c r="N15" s="2" t="n">
        <f aca="false">8-COUNTIF(D15:K15,"-")</f>
        <v>8</v>
      </c>
      <c r="O15" s="4" t="n">
        <f aca="false">IF(N15=0,"-",L15/N15)</f>
        <v>0.375</v>
      </c>
      <c r="P15" s="2"/>
    </row>
    <row r="16" customFormat="false" ht="15" hidden="false" customHeight="false" outlineLevel="0" collapsed="false">
      <c r="A16" s="2" t="n">
        <v>15</v>
      </c>
      <c r="B16" s="2" t="s">
        <v>35</v>
      </c>
      <c r="C16" s="2" t="s">
        <v>24</v>
      </c>
      <c r="D16" s="3" t="s">
        <v>18</v>
      </c>
      <c r="E16" s="3" t="s">
        <v>18</v>
      </c>
      <c r="F16" s="3" t="s">
        <v>18</v>
      </c>
      <c r="G16" s="3" t="s">
        <v>18</v>
      </c>
      <c r="H16" s="3" t="s">
        <v>18</v>
      </c>
      <c r="I16" s="3" t="s">
        <v>18</v>
      </c>
      <c r="J16" s="3" t="s">
        <v>18</v>
      </c>
      <c r="K16" s="3" t="s">
        <v>18</v>
      </c>
      <c r="L16" s="2" t="n">
        <f aca="false">COUNTIF(D16:K16,"P")+COUNTIF(D16:K16,"AJ")</f>
        <v>8</v>
      </c>
      <c r="M16" s="2" t="n">
        <f aca="false">COUNTIF(D16:K16,"A")</f>
        <v>0</v>
      </c>
      <c r="N16" s="2" t="n">
        <f aca="false">8-COUNTIF(D16:K16,"-")</f>
        <v>8</v>
      </c>
      <c r="O16" s="4" t="n">
        <f aca="false">IF(N16=0,"-",L16/N16)</f>
        <v>1</v>
      </c>
      <c r="P16" s="2"/>
    </row>
    <row r="17" customFormat="false" ht="15" hidden="false" customHeight="false" outlineLevel="0" collapsed="false">
      <c r="A17" s="2" t="n">
        <v>16</v>
      </c>
      <c r="B17" s="2" t="s">
        <v>36</v>
      </c>
      <c r="C17" s="2" t="s">
        <v>24</v>
      </c>
      <c r="D17" s="3" t="s">
        <v>17</v>
      </c>
      <c r="E17" s="3" t="s">
        <v>17</v>
      </c>
      <c r="F17" s="3" t="s">
        <v>17</v>
      </c>
      <c r="G17" s="3" t="s">
        <v>18</v>
      </c>
      <c r="H17" s="3" t="s">
        <v>17</v>
      </c>
      <c r="I17" s="3" t="s">
        <v>18</v>
      </c>
      <c r="J17" s="3" t="s">
        <v>18</v>
      </c>
      <c r="K17" s="3" t="s">
        <v>18</v>
      </c>
      <c r="L17" s="2" t="n">
        <f aca="false">COUNTIF(D17:K17,"P")+COUNTIF(D17:K17,"AJ")</f>
        <v>4</v>
      </c>
      <c r="M17" s="2" t="n">
        <f aca="false">COUNTIF(D17:K17,"A")</f>
        <v>4</v>
      </c>
      <c r="N17" s="2" t="n">
        <f aca="false">8-COUNTIF(D17:K17,"-")</f>
        <v>8</v>
      </c>
      <c r="O17" s="4" t="n">
        <f aca="false">IF(N17=0,"-",L17/N17)</f>
        <v>0.5</v>
      </c>
      <c r="P17" s="2"/>
    </row>
    <row r="18" customFormat="false" ht="15" hidden="false" customHeight="false" outlineLevel="0" collapsed="false">
      <c r="A18" s="2" t="n">
        <v>17</v>
      </c>
      <c r="B18" s="2" t="s">
        <v>37</v>
      </c>
      <c r="C18" s="2"/>
      <c r="D18" s="3" t="s">
        <v>18</v>
      </c>
      <c r="E18" s="3" t="s">
        <v>17</v>
      </c>
      <c r="F18" s="3" t="s">
        <v>18</v>
      </c>
      <c r="G18" s="3" t="s">
        <v>18</v>
      </c>
      <c r="H18" s="3" t="s">
        <v>18</v>
      </c>
      <c r="I18" s="3" t="s">
        <v>18</v>
      </c>
      <c r="J18" s="3" t="s">
        <v>18</v>
      </c>
      <c r="K18" s="3" t="s">
        <v>18</v>
      </c>
      <c r="L18" s="2" t="n">
        <f aca="false">COUNTIF(D18:K18,"P")+COUNTIF(D18:K18,"AJ")</f>
        <v>7</v>
      </c>
      <c r="M18" s="2" t="n">
        <f aca="false">COUNTIF(D18:K18,"A")</f>
        <v>1</v>
      </c>
      <c r="N18" s="2" t="n">
        <f aca="false">8-COUNTIF(D18:K18,"-")</f>
        <v>8</v>
      </c>
      <c r="O18" s="4" t="n">
        <f aca="false">IF(N18=0,"-",L18/N18)</f>
        <v>0.875</v>
      </c>
      <c r="P18" s="2"/>
    </row>
    <row r="19" customFormat="false" ht="15" hidden="false" customHeight="false" outlineLevel="0" collapsed="false">
      <c r="A19" s="2" t="n">
        <v>18</v>
      </c>
      <c r="B19" s="2" t="s">
        <v>38</v>
      </c>
      <c r="C19" s="2"/>
      <c r="D19" s="3" t="s">
        <v>18</v>
      </c>
      <c r="E19" s="3" t="s">
        <v>18</v>
      </c>
      <c r="F19" s="3" t="s">
        <v>18</v>
      </c>
      <c r="G19" s="3" t="s">
        <v>18</v>
      </c>
      <c r="H19" s="3" t="s">
        <v>18</v>
      </c>
      <c r="I19" s="3" t="s">
        <v>18</v>
      </c>
      <c r="J19" s="3" t="s">
        <v>18</v>
      </c>
      <c r="K19" s="3" t="s">
        <v>18</v>
      </c>
      <c r="L19" s="2" t="n">
        <f aca="false">COUNTIF(D19:K19,"P")+COUNTIF(D19:K19,"AJ")</f>
        <v>8</v>
      </c>
      <c r="M19" s="2" t="n">
        <f aca="false">COUNTIF(D19:K19,"A")</f>
        <v>0</v>
      </c>
      <c r="N19" s="2" t="n">
        <f aca="false">8-COUNTIF(D19:K19,"-")</f>
        <v>8</v>
      </c>
      <c r="O19" s="4" t="n">
        <f aca="false">IF(N19=0,"-",L19/N19)</f>
        <v>1</v>
      </c>
      <c r="P19" s="2"/>
    </row>
    <row r="20" customFormat="false" ht="15" hidden="false" customHeight="false" outlineLevel="0" collapsed="false">
      <c r="A20" s="2" t="n">
        <v>19</v>
      </c>
      <c r="B20" s="2" t="s">
        <v>39</v>
      </c>
      <c r="C20" s="2"/>
      <c r="D20" s="3" t="s">
        <v>18</v>
      </c>
      <c r="E20" s="3" t="s">
        <v>40</v>
      </c>
      <c r="F20" s="3" t="s">
        <v>40</v>
      </c>
      <c r="G20" s="3" t="s">
        <v>18</v>
      </c>
      <c r="H20" s="3" t="s">
        <v>40</v>
      </c>
      <c r="I20" s="3" t="s">
        <v>18</v>
      </c>
      <c r="J20" s="3" t="s">
        <v>18</v>
      </c>
      <c r="K20" s="3" t="s">
        <v>18</v>
      </c>
      <c r="L20" s="2" t="n">
        <f aca="false">COUNTIF(D20:K20,"P")+COUNTIF(D20:K20,"AJ")</f>
        <v>8</v>
      </c>
      <c r="M20" s="2" t="n">
        <f aca="false">COUNTIF(D20:K20,"A")</f>
        <v>0</v>
      </c>
      <c r="N20" s="2" t="n">
        <f aca="false">8-COUNTIF(D20:K20,"-")</f>
        <v>8</v>
      </c>
      <c r="O20" s="4" t="n">
        <f aca="false">IF(N20=0,"-",L20/N20)</f>
        <v>1</v>
      </c>
      <c r="P20" s="2"/>
    </row>
    <row r="21" customFormat="false" ht="15" hidden="false" customHeight="false" outlineLevel="0" collapsed="false">
      <c r="A21" s="2" t="n">
        <v>20</v>
      </c>
      <c r="B21" s="2" t="s">
        <v>41</v>
      </c>
      <c r="C21" s="2"/>
      <c r="D21" s="3" t="s">
        <v>17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  <c r="L21" s="2" t="n">
        <f aca="false">COUNTIF(D21:K21,"P")+COUNTIF(D21:K21,"AJ")</f>
        <v>0</v>
      </c>
      <c r="M21" s="2" t="n">
        <f aca="false">COUNTIF(D21:K21,"A")</f>
        <v>8</v>
      </c>
      <c r="N21" s="2" t="n">
        <f aca="false">8-COUNTIF(D21:K21,"-")</f>
        <v>8</v>
      </c>
      <c r="O21" s="4" t="n">
        <f aca="false">IF(N21=0,"-",L21/N21)</f>
        <v>0</v>
      </c>
      <c r="P21" s="2"/>
    </row>
    <row r="22" customFormat="false" ht="15" hidden="false" customHeight="false" outlineLevel="0" collapsed="false">
      <c r="A22" s="2" t="n">
        <v>21</v>
      </c>
      <c r="B22" s="2" t="s">
        <v>42</v>
      </c>
      <c r="C22" s="2"/>
      <c r="D22" s="3" t="s">
        <v>17</v>
      </c>
      <c r="E22" s="3" t="s">
        <v>18</v>
      </c>
      <c r="F22" s="3" t="s">
        <v>18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2" t="n">
        <f aca="false">COUNTIF(D22:K22,"P")+COUNTIF(D22:K22,"AJ")</f>
        <v>2</v>
      </c>
      <c r="M22" s="2" t="n">
        <f aca="false">COUNTIF(D22:K22,"A")</f>
        <v>6</v>
      </c>
      <c r="N22" s="2" t="n">
        <f aca="false">8-COUNTIF(D22:K22,"-")</f>
        <v>8</v>
      </c>
      <c r="O22" s="4" t="n">
        <f aca="false">IF(N22=0,"-",L22/N22)</f>
        <v>0.25</v>
      </c>
      <c r="P22" s="2"/>
    </row>
    <row r="23" customFormat="false" ht="15" hidden="false" customHeight="false" outlineLevel="0" collapsed="false">
      <c r="A23" s="2" t="n">
        <v>22</v>
      </c>
      <c r="B23" s="2" t="s">
        <v>43</v>
      </c>
      <c r="C23" s="2" t="s">
        <v>24</v>
      </c>
      <c r="D23" s="3" t="s">
        <v>18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2" t="n">
        <f aca="false">COUNTIF(D23:K23,"P")+COUNTIF(D23:K23,"AJ")</f>
        <v>8</v>
      </c>
      <c r="M23" s="2" t="n">
        <f aca="false">COUNTIF(D23:K23,"A")</f>
        <v>0</v>
      </c>
      <c r="N23" s="2" t="n">
        <f aca="false">8-COUNTIF(D23:K23,"-")</f>
        <v>8</v>
      </c>
      <c r="O23" s="4" t="n">
        <f aca="false">IF(N23=0,"-",L23/N23)</f>
        <v>1</v>
      </c>
      <c r="P23" s="2"/>
    </row>
    <row r="24" customFormat="false" ht="15" hidden="false" customHeight="false" outlineLevel="0" collapsed="false">
      <c r="A24" s="2" t="n">
        <v>23</v>
      </c>
      <c r="B24" s="2" t="s">
        <v>44</v>
      </c>
      <c r="C24" s="2"/>
      <c r="D24" s="3" t="s">
        <v>18</v>
      </c>
      <c r="E24" s="3" t="s">
        <v>18</v>
      </c>
      <c r="F24" s="3" t="s">
        <v>18</v>
      </c>
      <c r="G24" s="3" t="s">
        <v>18</v>
      </c>
      <c r="H24" s="3" t="s">
        <v>18</v>
      </c>
      <c r="I24" s="3" t="s">
        <v>18</v>
      </c>
      <c r="J24" s="3" t="s">
        <v>18</v>
      </c>
      <c r="K24" s="3" t="s">
        <v>40</v>
      </c>
      <c r="L24" s="2" t="n">
        <f aca="false">COUNTIF(D24:K24,"P")+COUNTIF(D24:K24,"AJ")</f>
        <v>8</v>
      </c>
      <c r="M24" s="2" t="n">
        <f aca="false">COUNTIF(D24:K24,"A")</f>
        <v>0</v>
      </c>
      <c r="N24" s="2" t="n">
        <f aca="false">8-COUNTIF(D24:K24,"-")</f>
        <v>8</v>
      </c>
      <c r="O24" s="4" t="n">
        <f aca="false">IF(N24=0,"-",L24/N24)</f>
        <v>1</v>
      </c>
      <c r="P24" s="2"/>
    </row>
    <row r="25" customFormat="false" ht="15" hidden="false" customHeight="false" outlineLevel="0" collapsed="false">
      <c r="A25" s="2" t="n">
        <v>24</v>
      </c>
      <c r="B25" s="2" t="s">
        <v>45</v>
      </c>
      <c r="C25" s="2"/>
      <c r="D25" s="3" t="s">
        <v>17</v>
      </c>
      <c r="E25" s="3" t="s">
        <v>18</v>
      </c>
      <c r="F25" s="3" t="s">
        <v>18</v>
      </c>
      <c r="G25" s="3" t="s">
        <v>18</v>
      </c>
      <c r="H25" s="3" t="s">
        <v>18</v>
      </c>
      <c r="I25" s="3" t="s">
        <v>17</v>
      </c>
      <c r="J25" s="3" t="s">
        <v>17</v>
      </c>
      <c r="K25" s="3" t="s">
        <v>18</v>
      </c>
      <c r="L25" s="2" t="n">
        <f aca="false">COUNTIF(D25:K25,"P")+COUNTIF(D25:K25,"AJ")</f>
        <v>5</v>
      </c>
      <c r="M25" s="2" t="n">
        <f aca="false">COUNTIF(D25:K25,"A")</f>
        <v>3</v>
      </c>
      <c r="N25" s="2" t="n">
        <f aca="false">8-COUNTIF(D25:K25,"-")</f>
        <v>8</v>
      </c>
      <c r="O25" s="4" t="n">
        <f aca="false">IF(N25=0,"-",L25/N25)</f>
        <v>0.625</v>
      </c>
      <c r="P25" s="2"/>
    </row>
    <row r="26" customFormat="false" ht="15" hidden="false" customHeight="false" outlineLevel="0" collapsed="false">
      <c r="A26" s="2" t="n">
        <v>25</v>
      </c>
      <c r="B26" s="2" t="s">
        <v>46</v>
      </c>
      <c r="C26" s="2" t="s">
        <v>24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2" t="n">
        <f aca="false">COUNTIF(D26:K26,"P")+COUNTIF(D26:K26,"AJ")</f>
        <v>0</v>
      </c>
      <c r="M26" s="2" t="n">
        <f aca="false">COUNTIF(D26:K26,"A")</f>
        <v>8</v>
      </c>
      <c r="N26" s="2" t="n">
        <f aca="false">8-COUNTIF(D26:K26,"-")</f>
        <v>8</v>
      </c>
      <c r="O26" s="4" t="n">
        <f aca="false">IF(N26=0,"-",L26/N26)</f>
        <v>0</v>
      </c>
      <c r="P26" s="2"/>
    </row>
    <row r="27" customFormat="false" ht="15" hidden="false" customHeight="false" outlineLevel="0" collapsed="false">
      <c r="A27" s="2" t="n">
        <v>26</v>
      </c>
      <c r="B27" s="2" t="s">
        <v>47</v>
      </c>
      <c r="C27" s="2" t="s">
        <v>24</v>
      </c>
      <c r="D27" s="3" t="s">
        <v>17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  <c r="K27" s="3" t="s">
        <v>18</v>
      </c>
      <c r="L27" s="2" t="n">
        <f aca="false">COUNTIF(D27:K27,"P")+COUNTIF(D27:K27,"AJ")</f>
        <v>7</v>
      </c>
      <c r="M27" s="2" t="n">
        <f aca="false">COUNTIF(D27:K27,"A")</f>
        <v>1</v>
      </c>
      <c r="N27" s="2" t="n">
        <f aca="false">8-COUNTIF(D27:K27,"-")</f>
        <v>8</v>
      </c>
      <c r="O27" s="4" t="n">
        <f aca="false">IF(N27=0,"-",L27/N27)</f>
        <v>0.875</v>
      </c>
      <c r="P27" s="2"/>
    </row>
    <row r="28" customFormat="false" ht="15" hidden="false" customHeight="false" outlineLevel="0" collapsed="false">
      <c r="A28" s="2" t="n">
        <v>27</v>
      </c>
      <c r="B28" s="2" t="s">
        <v>48</v>
      </c>
      <c r="C28" s="2"/>
      <c r="D28" s="3" t="s">
        <v>17</v>
      </c>
      <c r="E28" s="3" t="s">
        <v>18</v>
      </c>
      <c r="F28" s="3" t="s">
        <v>17</v>
      </c>
      <c r="G28" s="3" t="s">
        <v>18</v>
      </c>
      <c r="H28" s="3" t="s">
        <v>18</v>
      </c>
      <c r="I28" s="3" t="s">
        <v>18</v>
      </c>
      <c r="J28" s="3" t="s">
        <v>18</v>
      </c>
      <c r="K28" s="3" t="s">
        <v>18</v>
      </c>
      <c r="L28" s="2" t="n">
        <f aca="false">COUNTIF(D28:K28,"P")+COUNTIF(D28:K28,"AJ")</f>
        <v>6</v>
      </c>
      <c r="M28" s="2" t="n">
        <f aca="false">COUNTIF(D28:K28,"A")</f>
        <v>2</v>
      </c>
      <c r="N28" s="2" t="n">
        <f aca="false">8-COUNTIF(D28:K28,"-")</f>
        <v>8</v>
      </c>
      <c r="O28" s="4" t="n">
        <f aca="false">IF(N28=0,"-",L28/N28)</f>
        <v>0.75</v>
      </c>
      <c r="P28" s="2"/>
    </row>
    <row r="29" customFormat="false" ht="15" hidden="false" customHeight="false" outlineLevel="0" collapsed="false">
      <c r="A29" s="2" t="n">
        <v>28</v>
      </c>
      <c r="B29" s="2" t="s">
        <v>49</v>
      </c>
      <c r="C29" s="2"/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2" t="n">
        <f aca="false">COUNTIF(D29:K29,"P")+COUNTIF(D29:K29,"AJ")</f>
        <v>0</v>
      </c>
      <c r="M29" s="2" t="n">
        <f aca="false">COUNTIF(D29:K29,"A")</f>
        <v>8</v>
      </c>
      <c r="N29" s="2" t="n">
        <f aca="false">8-COUNTIF(D29:K29,"-")</f>
        <v>8</v>
      </c>
      <c r="O29" s="4" t="n">
        <f aca="false">IF(N29=0,"-",L29/N29)</f>
        <v>0</v>
      </c>
      <c r="P29" s="2"/>
    </row>
    <row r="30" customFormat="false" ht="15" hidden="false" customHeight="false" outlineLevel="0" collapsed="false">
      <c r="A30" s="2" t="n">
        <v>29</v>
      </c>
      <c r="B30" s="2" t="s">
        <v>50</v>
      </c>
      <c r="C30" s="2"/>
      <c r="D30" s="3" t="s">
        <v>17</v>
      </c>
      <c r="E30" s="3" t="s">
        <v>18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  <c r="L30" s="2" t="n">
        <f aca="false">COUNTIF(D30:K30,"P")+COUNTIF(D30:K30,"AJ")</f>
        <v>1</v>
      </c>
      <c r="M30" s="2" t="n">
        <f aca="false">COUNTIF(D30:K30,"A")</f>
        <v>7</v>
      </c>
      <c r="N30" s="2" t="n">
        <f aca="false">8-COUNTIF(D30:K30,"-")</f>
        <v>8</v>
      </c>
      <c r="O30" s="4" t="n">
        <f aca="false">IF(N30=0,"-",L30/N30)</f>
        <v>0.125</v>
      </c>
      <c r="P30" s="2"/>
    </row>
    <row r="31" customFormat="false" ht="15" hidden="false" customHeight="false" outlineLevel="0" collapsed="false">
      <c r="A31" s="2" t="n">
        <v>30</v>
      </c>
      <c r="B31" s="2" t="s">
        <v>51</v>
      </c>
      <c r="C31" s="2"/>
      <c r="D31" s="3" t="s">
        <v>18</v>
      </c>
      <c r="E31" s="3" t="s">
        <v>18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40</v>
      </c>
      <c r="L31" s="2" t="n">
        <f aca="false">COUNTIF(D31:K31,"P")+COUNTIF(D31:K31,"AJ")</f>
        <v>8</v>
      </c>
      <c r="M31" s="2" t="n">
        <f aca="false">COUNTIF(D31:K31,"A")</f>
        <v>0</v>
      </c>
      <c r="N31" s="2" t="n">
        <f aca="false">8-COUNTIF(D31:K31,"-")</f>
        <v>8</v>
      </c>
      <c r="O31" s="4" t="n">
        <f aca="false">IF(N31=0,"-",L31/N31)</f>
        <v>1</v>
      </c>
      <c r="P31" s="2"/>
    </row>
    <row r="32" customFormat="false" ht="15" hidden="false" customHeight="false" outlineLevel="0" collapsed="false">
      <c r="A32" s="2" t="n">
        <v>31</v>
      </c>
      <c r="B32" s="2" t="s">
        <v>52</v>
      </c>
      <c r="C32" s="2" t="s">
        <v>24</v>
      </c>
      <c r="D32" s="3" t="s">
        <v>18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L32" s="2" t="n">
        <f aca="false">COUNTIF(D32:K32,"P")+COUNTIF(D32:K32,"AJ")</f>
        <v>8</v>
      </c>
      <c r="M32" s="2" t="n">
        <f aca="false">COUNTIF(D32:K32,"A")</f>
        <v>0</v>
      </c>
      <c r="N32" s="2" t="n">
        <f aca="false">8-COUNTIF(D32:K32,"-")</f>
        <v>8</v>
      </c>
      <c r="O32" s="4" t="n">
        <f aca="false">IF(N32=0,"-",L32/N32)</f>
        <v>1</v>
      </c>
      <c r="P32" s="2"/>
    </row>
    <row r="33" customFormat="false" ht="15" hidden="false" customHeight="false" outlineLevel="0" collapsed="false">
      <c r="A33" s="2" t="n">
        <v>32</v>
      </c>
      <c r="B33" s="2" t="s">
        <v>53</v>
      </c>
      <c r="C33" s="2"/>
      <c r="D33" s="3" t="s">
        <v>18</v>
      </c>
      <c r="E33" s="3" t="s">
        <v>18</v>
      </c>
      <c r="F33" s="3" t="s">
        <v>18</v>
      </c>
      <c r="G33" s="3" t="s">
        <v>18</v>
      </c>
      <c r="H33" s="3" t="s">
        <v>18</v>
      </c>
      <c r="I33" s="3" t="s">
        <v>18</v>
      </c>
      <c r="J33" s="3" t="s">
        <v>17</v>
      </c>
      <c r="K33" s="3" t="s">
        <v>18</v>
      </c>
      <c r="L33" s="2" t="n">
        <f aca="false">COUNTIF(D33:K33,"P")+COUNTIF(D33:K33,"AJ")</f>
        <v>7</v>
      </c>
      <c r="M33" s="2" t="n">
        <f aca="false">COUNTIF(D33:K33,"A")</f>
        <v>1</v>
      </c>
      <c r="N33" s="2" t="n">
        <f aca="false">8-COUNTIF(D33:K33,"-")</f>
        <v>8</v>
      </c>
      <c r="O33" s="4" t="n">
        <f aca="false">IF(N33=0,"-",L33/N33)</f>
        <v>0.875</v>
      </c>
      <c r="P33" s="2"/>
    </row>
    <row r="34" customFormat="false" ht="15" hidden="false" customHeight="false" outlineLevel="0" collapsed="false">
      <c r="A34" s="2" t="n">
        <v>33</v>
      </c>
      <c r="B34" s="2" t="s">
        <v>54</v>
      </c>
      <c r="C34" s="2" t="s">
        <v>24</v>
      </c>
      <c r="D34" s="3" t="s">
        <v>18</v>
      </c>
      <c r="E34" s="3" t="s">
        <v>18</v>
      </c>
      <c r="F34" s="3" t="s">
        <v>18</v>
      </c>
      <c r="G34" s="3" t="s">
        <v>18</v>
      </c>
      <c r="H34" s="3" t="s">
        <v>18</v>
      </c>
      <c r="I34" s="3" t="s">
        <v>18</v>
      </c>
      <c r="J34" s="3" t="s">
        <v>18</v>
      </c>
      <c r="K34" s="3" t="s">
        <v>18</v>
      </c>
      <c r="L34" s="2" t="n">
        <f aca="false">COUNTIF(D34:K34,"P")+COUNTIF(D34:K34,"AJ")</f>
        <v>8</v>
      </c>
      <c r="M34" s="2" t="n">
        <f aca="false">COUNTIF(D34:K34,"A")</f>
        <v>0</v>
      </c>
      <c r="N34" s="2" t="n">
        <f aca="false">8-COUNTIF(D34:K34,"-")</f>
        <v>8</v>
      </c>
      <c r="O34" s="4" t="n">
        <f aca="false">IF(N34=0,"-",L34/N34)</f>
        <v>1</v>
      </c>
      <c r="P34" s="2"/>
    </row>
    <row r="35" customFormat="false" ht="15" hidden="false" customHeight="false" outlineLevel="0" collapsed="false">
      <c r="A35" s="2" t="n">
        <v>34</v>
      </c>
      <c r="B35" s="2" t="s">
        <v>55</v>
      </c>
      <c r="C35" s="2" t="s">
        <v>24</v>
      </c>
      <c r="D35" s="3" t="s">
        <v>17</v>
      </c>
      <c r="E35" s="3" t="s">
        <v>18</v>
      </c>
      <c r="F35" s="3" t="s">
        <v>17</v>
      </c>
      <c r="G35" s="3" t="s">
        <v>17</v>
      </c>
      <c r="H35" s="3" t="s">
        <v>18</v>
      </c>
      <c r="I35" s="3" t="s">
        <v>18</v>
      </c>
      <c r="J35" s="3" t="s">
        <v>18</v>
      </c>
      <c r="K35" s="3" t="s">
        <v>17</v>
      </c>
      <c r="L35" s="2" t="n">
        <f aca="false">COUNTIF(D35:K35,"P")+COUNTIF(D35:K35,"AJ")</f>
        <v>4</v>
      </c>
      <c r="M35" s="2" t="n">
        <f aca="false">COUNTIF(D35:K35,"A")</f>
        <v>4</v>
      </c>
      <c r="N35" s="2" t="n">
        <f aca="false">8-COUNTIF(D35:K35,"-")</f>
        <v>8</v>
      </c>
      <c r="O35" s="4" t="n">
        <f aca="false">IF(N35=0,"-",L35/N35)</f>
        <v>0.5</v>
      </c>
      <c r="P35" s="2"/>
    </row>
    <row r="36" customFormat="false" ht="15" hidden="false" customHeight="false" outlineLevel="0" collapsed="false">
      <c r="A36" s="2" t="n">
        <v>35</v>
      </c>
      <c r="B36" s="2" t="s">
        <v>56</v>
      </c>
      <c r="C36" s="2" t="s">
        <v>24</v>
      </c>
      <c r="D36" s="3" t="s">
        <v>17</v>
      </c>
      <c r="E36" s="3" t="s">
        <v>17</v>
      </c>
      <c r="F36" s="3" t="s">
        <v>17</v>
      </c>
      <c r="G36" s="3" t="s">
        <v>18</v>
      </c>
      <c r="H36" s="3" t="s">
        <v>40</v>
      </c>
      <c r="I36" s="3" t="s">
        <v>40</v>
      </c>
      <c r="J36" s="3" t="s">
        <v>18</v>
      </c>
      <c r="K36" s="3" t="s">
        <v>17</v>
      </c>
      <c r="L36" s="2" t="n">
        <f aca="false">COUNTIF(D36:K36,"P")+COUNTIF(D36:K36,"AJ")</f>
        <v>4</v>
      </c>
      <c r="M36" s="2" t="n">
        <f aca="false">COUNTIF(D36:K36,"A")</f>
        <v>4</v>
      </c>
      <c r="N36" s="2" t="n">
        <f aca="false">8-COUNTIF(D36:K36,"-")</f>
        <v>8</v>
      </c>
      <c r="O36" s="4" t="n">
        <f aca="false">IF(N36=0,"-",L36/N36)</f>
        <v>0.5</v>
      </c>
      <c r="P36" s="2"/>
    </row>
    <row r="37" customFormat="false" ht="15" hidden="false" customHeight="false" outlineLevel="0" collapsed="false">
      <c r="A37" s="2" t="n">
        <v>36</v>
      </c>
      <c r="B37" s="2" t="s">
        <v>57</v>
      </c>
      <c r="C37" s="2"/>
      <c r="D37" s="3" t="s">
        <v>18</v>
      </c>
      <c r="E37" s="3" t="s">
        <v>18</v>
      </c>
      <c r="F37" s="3" t="s">
        <v>17</v>
      </c>
      <c r="G37" s="3" t="s">
        <v>18</v>
      </c>
      <c r="H37" s="3" t="s">
        <v>18</v>
      </c>
      <c r="I37" s="3" t="s">
        <v>17</v>
      </c>
      <c r="J37" s="3" t="s">
        <v>17</v>
      </c>
      <c r="K37" s="3" t="s">
        <v>18</v>
      </c>
      <c r="L37" s="2" t="n">
        <f aca="false">COUNTIF(D37:K37,"P")+COUNTIF(D37:K37,"AJ")</f>
        <v>5</v>
      </c>
      <c r="M37" s="2" t="n">
        <f aca="false">COUNTIF(D37:K37,"A")</f>
        <v>3</v>
      </c>
      <c r="N37" s="2" t="n">
        <f aca="false">8-COUNTIF(D37:K37,"-")</f>
        <v>8</v>
      </c>
      <c r="O37" s="4" t="n">
        <f aca="false">IF(N37=0,"-",L37/N37)</f>
        <v>0.625</v>
      </c>
      <c r="P37" s="2"/>
    </row>
    <row r="38" customFormat="false" ht="15" hidden="false" customHeight="false" outlineLevel="0" collapsed="false">
      <c r="A38" s="2" t="n">
        <v>37</v>
      </c>
      <c r="B38" s="2" t="s">
        <v>58</v>
      </c>
      <c r="C38" s="2"/>
      <c r="D38" s="3" t="s">
        <v>17</v>
      </c>
      <c r="E38" s="3" t="s">
        <v>18</v>
      </c>
      <c r="F38" s="3" t="s">
        <v>17</v>
      </c>
      <c r="G38" s="3" t="s">
        <v>18</v>
      </c>
      <c r="H38" s="3" t="s">
        <v>40</v>
      </c>
      <c r="I38" s="3" t="s">
        <v>17</v>
      </c>
      <c r="J38" s="3" t="s">
        <v>17</v>
      </c>
      <c r="K38" s="3" t="s">
        <v>18</v>
      </c>
      <c r="L38" s="2" t="n">
        <f aca="false">COUNTIF(D38:K38,"P")+COUNTIF(D38:K38,"AJ")</f>
        <v>4</v>
      </c>
      <c r="M38" s="2" t="n">
        <f aca="false">COUNTIF(D38:K38,"A")</f>
        <v>4</v>
      </c>
      <c r="N38" s="2" t="n">
        <f aca="false">8-COUNTIF(D38:K38,"-")</f>
        <v>8</v>
      </c>
      <c r="O38" s="4" t="n">
        <f aca="false">IF(N38=0,"-",L38/N38)</f>
        <v>0.5</v>
      </c>
      <c r="P38" s="2" t="s">
        <v>59</v>
      </c>
    </row>
    <row r="39" customFormat="false" ht="15" hidden="false" customHeight="false" outlineLevel="0" collapsed="false">
      <c r="A39" s="2" t="n">
        <v>38</v>
      </c>
      <c r="B39" s="2" t="s">
        <v>60</v>
      </c>
      <c r="C39" s="2" t="s">
        <v>24</v>
      </c>
      <c r="D39" s="3" t="s">
        <v>17</v>
      </c>
      <c r="E39" s="3" t="s">
        <v>17</v>
      </c>
      <c r="F39" s="3" t="s">
        <v>17</v>
      </c>
      <c r="G39" s="3" t="s">
        <v>18</v>
      </c>
      <c r="H39" s="3" t="s">
        <v>18</v>
      </c>
      <c r="I39" s="3" t="s">
        <v>18</v>
      </c>
      <c r="J39" s="3" t="s">
        <v>17</v>
      </c>
      <c r="K39" s="3" t="s">
        <v>18</v>
      </c>
      <c r="L39" s="2" t="n">
        <f aca="false">COUNTIF(D39:K39,"P")+COUNTIF(D39:K39,"AJ")</f>
        <v>4</v>
      </c>
      <c r="M39" s="2" t="n">
        <f aca="false">COUNTIF(D39:K39,"A")</f>
        <v>4</v>
      </c>
      <c r="N39" s="2" t="n">
        <f aca="false">8-COUNTIF(D39:K39,"-")</f>
        <v>8</v>
      </c>
      <c r="O39" s="4" t="n">
        <f aca="false">IF(N39=0,"-",L39/N39)</f>
        <v>0.5</v>
      </c>
      <c r="P39" s="2"/>
    </row>
    <row r="40" customFormat="false" ht="15" hidden="false" customHeight="false" outlineLevel="0" collapsed="false">
      <c r="A40" s="2" t="n">
        <v>39</v>
      </c>
      <c r="B40" s="2" t="s">
        <v>61</v>
      </c>
      <c r="C40" s="2"/>
      <c r="D40" s="3" t="s">
        <v>18</v>
      </c>
      <c r="E40" s="3" t="s">
        <v>18</v>
      </c>
      <c r="F40" s="3" t="s">
        <v>17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40</v>
      </c>
      <c r="L40" s="2" t="n">
        <f aca="false">COUNTIF(D40:K40,"P")+COUNTIF(D40:K40,"AJ")</f>
        <v>7</v>
      </c>
      <c r="M40" s="2" t="n">
        <f aca="false">COUNTIF(D40:K40,"A")</f>
        <v>1</v>
      </c>
      <c r="N40" s="2" t="n">
        <f aca="false">8-COUNTIF(D40:K40,"-")</f>
        <v>8</v>
      </c>
      <c r="O40" s="4" t="n">
        <f aca="false">IF(N40=0,"-",L40/N40)</f>
        <v>0.875</v>
      </c>
      <c r="P40" s="2"/>
    </row>
    <row r="41" customFormat="false" ht="15" hidden="false" customHeight="false" outlineLevel="0" collapsed="false">
      <c r="A41" s="2" t="n">
        <v>40</v>
      </c>
      <c r="B41" s="2" t="s">
        <v>62</v>
      </c>
      <c r="C41" s="2" t="s">
        <v>24</v>
      </c>
      <c r="D41" s="3" t="s">
        <v>17</v>
      </c>
      <c r="E41" s="3" t="s">
        <v>18</v>
      </c>
      <c r="F41" s="3" t="s">
        <v>17</v>
      </c>
      <c r="G41" s="3" t="s">
        <v>18</v>
      </c>
      <c r="H41" s="3" t="s">
        <v>17</v>
      </c>
      <c r="I41" s="3" t="s">
        <v>17</v>
      </c>
      <c r="J41" s="3" t="s">
        <v>17</v>
      </c>
      <c r="K41" s="3" t="s">
        <v>18</v>
      </c>
      <c r="L41" s="2" t="n">
        <f aca="false">COUNTIF(D41:K41,"P")+COUNTIF(D41:K41,"AJ")</f>
        <v>3</v>
      </c>
      <c r="M41" s="2" t="n">
        <f aca="false">COUNTIF(D41:K41,"A")</f>
        <v>5</v>
      </c>
      <c r="N41" s="2" t="n">
        <f aca="false">8-COUNTIF(D41:K41,"-")</f>
        <v>8</v>
      </c>
      <c r="O41" s="4" t="n">
        <f aca="false">IF(N41=0,"-",L41/N41)</f>
        <v>0.375</v>
      </c>
      <c r="P41" s="2"/>
    </row>
    <row r="42" customFormat="false" ht="15" hidden="false" customHeight="false" outlineLevel="0" collapsed="false">
      <c r="A42" s="2" t="n">
        <v>41</v>
      </c>
      <c r="B42" s="2" t="s">
        <v>63</v>
      </c>
      <c r="C42" s="2" t="s">
        <v>24</v>
      </c>
      <c r="D42" s="3" t="s">
        <v>18</v>
      </c>
      <c r="E42" s="3" t="s">
        <v>18</v>
      </c>
      <c r="F42" s="3" t="s">
        <v>18</v>
      </c>
      <c r="G42" s="3" t="s">
        <v>40</v>
      </c>
      <c r="H42" s="3" t="s">
        <v>17</v>
      </c>
      <c r="I42" s="3" t="s">
        <v>17</v>
      </c>
      <c r="J42" s="3" t="s">
        <v>17</v>
      </c>
      <c r="K42" s="3" t="s">
        <v>17</v>
      </c>
      <c r="L42" s="2" t="n">
        <f aca="false">COUNTIF(D42:K42,"P")+COUNTIF(D42:K42,"AJ")</f>
        <v>4</v>
      </c>
      <c r="M42" s="2" t="n">
        <f aca="false">COUNTIF(D42:K42,"A")</f>
        <v>4</v>
      </c>
      <c r="N42" s="2" t="n">
        <f aca="false">8-COUNTIF(D42:K42,"-")</f>
        <v>8</v>
      </c>
      <c r="O42" s="4" t="n">
        <f aca="false">IF(N42=0,"-",L42/N42)</f>
        <v>0.5</v>
      </c>
      <c r="P42" s="2"/>
    </row>
    <row r="43" customFormat="false" ht="15" hidden="false" customHeight="false" outlineLevel="0" collapsed="false">
      <c r="A43" s="2" t="n">
        <v>43</v>
      </c>
      <c r="B43" s="2" t="s">
        <v>64</v>
      </c>
      <c r="C43" s="2"/>
      <c r="D43" s="3" t="s">
        <v>18</v>
      </c>
      <c r="E43" s="3" t="s">
        <v>18</v>
      </c>
      <c r="F43" s="3" t="s">
        <v>18</v>
      </c>
      <c r="G43" s="3" t="s">
        <v>18</v>
      </c>
      <c r="H43" s="3" t="s">
        <v>18</v>
      </c>
      <c r="I43" s="3" t="s">
        <v>18</v>
      </c>
      <c r="J43" s="3" t="s">
        <v>18</v>
      </c>
      <c r="K43" s="3" t="s">
        <v>17</v>
      </c>
      <c r="L43" s="2" t="n">
        <f aca="false">COUNTIF(D43:K43,"P")+COUNTIF(D43:K43,"AJ")</f>
        <v>7</v>
      </c>
      <c r="M43" s="2" t="n">
        <f aca="false">COUNTIF(D43:K43,"A")</f>
        <v>1</v>
      </c>
      <c r="N43" s="2" t="n">
        <f aca="false">8-COUNTIF(D43:K43,"-")</f>
        <v>8</v>
      </c>
      <c r="O43" s="4" t="n">
        <f aca="false">IF(N43=0,"-",L43/N43)</f>
        <v>0.875</v>
      </c>
      <c r="P43" s="2"/>
    </row>
    <row r="44" customFormat="false" ht="15" hidden="false" customHeight="false" outlineLevel="0" collapsed="false">
      <c r="A44" s="2" t="n">
        <v>44</v>
      </c>
      <c r="B44" s="2" t="s">
        <v>65</v>
      </c>
      <c r="C44" s="2"/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2" t="n">
        <f aca="false">COUNTIF(D44:K44,"P")+COUNTIF(D44:K44,"AJ")</f>
        <v>0</v>
      </c>
      <c r="M44" s="2" t="n">
        <f aca="false">COUNTIF(D44:K44,"A")</f>
        <v>8</v>
      </c>
      <c r="N44" s="2" t="n">
        <f aca="false">8-COUNTIF(D44:K44,"-")</f>
        <v>8</v>
      </c>
      <c r="O44" s="4" t="n">
        <f aca="false">IF(N44=0,"-",L44/N44)</f>
        <v>0</v>
      </c>
      <c r="P44" s="2"/>
    </row>
    <row r="45" customFormat="false" ht="15" hidden="false" customHeight="false" outlineLevel="0" collapsed="false">
      <c r="A45" s="2" t="n">
        <v>46</v>
      </c>
      <c r="B45" s="2" t="s">
        <v>66</v>
      </c>
      <c r="C45" s="2"/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2" t="n">
        <f aca="false">COUNTIF(D45:K45,"P")+COUNTIF(D45:K45,"AJ")</f>
        <v>0</v>
      </c>
      <c r="M45" s="2" t="n">
        <f aca="false">COUNTIF(D45:K45,"A")</f>
        <v>8</v>
      </c>
      <c r="N45" s="2" t="n">
        <f aca="false">8-COUNTIF(D45:K45,"-")</f>
        <v>8</v>
      </c>
      <c r="O45" s="4" t="n">
        <f aca="false">IF(N45=0,"-",L45/N45)</f>
        <v>0</v>
      </c>
      <c r="P45" s="2"/>
    </row>
    <row r="46" customFormat="false" ht="15" hidden="false" customHeight="false" outlineLevel="0" collapsed="false">
      <c r="A46" s="2" t="n">
        <v>47</v>
      </c>
      <c r="B46" s="2" t="s">
        <v>67</v>
      </c>
      <c r="C46" s="2"/>
      <c r="D46" s="3" t="s">
        <v>18</v>
      </c>
      <c r="E46" s="3" t="s">
        <v>18</v>
      </c>
      <c r="F46" s="3" t="s">
        <v>18</v>
      </c>
      <c r="G46" s="3" t="s">
        <v>18</v>
      </c>
      <c r="H46" s="3" t="s">
        <v>18</v>
      </c>
      <c r="I46" s="3" t="s">
        <v>40</v>
      </c>
      <c r="J46" s="3" t="s">
        <v>18</v>
      </c>
      <c r="K46" s="3" t="s">
        <v>17</v>
      </c>
      <c r="L46" s="2" t="n">
        <f aca="false">COUNTIF(D46:K46,"P")+COUNTIF(D46:K46,"AJ")</f>
        <v>7</v>
      </c>
      <c r="M46" s="2" t="n">
        <f aca="false">COUNTIF(D46:K46,"A")</f>
        <v>1</v>
      </c>
      <c r="N46" s="2" t="n">
        <f aca="false">8-COUNTIF(D46:K46,"-")</f>
        <v>8</v>
      </c>
      <c r="O46" s="4" t="n">
        <f aca="false">IF(N46=0,"-",L46/N46)</f>
        <v>0.875</v>
      </c>
      <c r="P46" s="2" t="s">
        <v>68</v>
      </c>
    </row>
    <row r="47" customFormat="false" ht="15" hidden="false" customHeight="false" outlineLevel="0" collapsed="false">
      <c r="A47" s="2" t="n">
        <v>48</v>
      </c>
      <c r="B47" s="2" t="s">
        <v>69</v>
      </c>
      <c r="C47" s="2" t="s">
        <v>24</v>
      </c>
      <c r="D47" s="3" t="s">
        <v>17</v>
      </c>
      <c r="E47" s="3" t="s">
        <v>18</v>
      </c>
      <c r="F47" s="3" t="s">
        <v>18</v>
      </c>
      <c r="G47" s="3" t="s">
        <v>18</v>
      </c>
      <c r="H47" s="3" t="s">
        <v>18</v>
      </c>
      <c r="I47" s="3" t="s">
        <v>18</v>
      </c>
      <c r="J47" s="3" t="s">
        <v>17</v>
      </c>
      <c r="K47" s="3" t="s">
        <v>18</v>
      </c>
      <c r="L47" s="2" t="n">
        <f aca="false">COUNTIF(D47:K47,"P")+COUNTIF(D47:K47,"AJ")</f>
        <v>6</v>
      </c>
      <c r="M47" s="2" t="n">
        <f aca="false">COUNTIF(D47:K47,"A")</f>
        <v>2</v>
      </c>
      <c r="N47" s="2" t="n">
        <f aca="false">8-COUNTIF(D47:K47,"-")</f>
        <v>8</v>
      </c>
      <c r="O47" s="4" t="n">
        <f aca="false">IF(N47=0,"-",L47/N47)</f>
        <v>0.75</v>
      </c>
      <c r="P47" s="2"/>
    </row>
    <row r="48" customFormat="false" ht="15" hidden="false" customHeight="false" outlineLevel="0" collapsed="false">
      <c r="A48" s="2" t="n">
        <v>49</v>
      </c>
      <c r="B48" s="2" t="s">
        <v>70</v>
      </c>
      <c r="C48" s="2"/>
      <c r="D48" s="3" t="s">
        <v>18</v>
      </c>
      <c r="E48" s="3" t="s">
        <v>40</v>
      </c>
      <c r="F48" s="3" t="s">
        <v>40</v>
      </c>
      <c r="G48" s="3" t="s">
        <v>18</v>
      </c>
      <c r="H48" s="3" t="s">
        <v>17</v>
      </c>
      <c r="I48" s="3" t="s">
        <v>18</v>
      </c>
      <c r="J48" s="3" t="s">
        <v>18</v>
      </c>
      <c r="K48" s="3" t="s">
        <v>18</v>
      </c>
      <c r="L48" s="2" t="n">
        <f aca="false">COUNTIF(D48:K48,"P")+COUNTIF(D48:K48,"AJ")</f>
        <v>7</v>
      </c>
      <c r="M48" s="2" t="n">
        <f aca="false">COUNTIF(D48:K48,"A")</f>
        <v>1</v>
      </c>
      <c r="N48" s="2" t="n">
        <f aca="false">8-COUNTIF(D48:K48,"-")</f>
        <v>8</v>
      </c>
      <c r="O48" s="4" t="n">
        <f aca="false">IF(N48=0,"-",L48/N48)</f>
        <v>0.875</v>
      </c>
      <c r="P48" s="2"/>
    </row>
    <row r="49" customFormat="false" ht="15" hidden="false" customHeight="false" outlineLevel="0" collapsed="false">
      <c r="A49" s="2" t="n">
        <v>50</v>
      </c>
      <c r="B49" s="2" t="s">
        <v>71</v>
      </c>
      <c r="C49" s="2"/>
      <c r="D49" s="3" t="s">
        <v>18</v>
      </c>
      <c r="E49" s="3" t="s">
        <v>17</v>
      </c>
      <c r="F49" s="3" t="s">
        <v>17</v>
      </c>
      <c r="G49" s="3" t="s">
        <v>17</v>
      </c>
      <c r="H49" s="3" t="s">
        <v>18</v>
      </c>
      <c r="I49" s="3" t="s">
        <v>18</v>
      </c>
      <c r="J49" s="3" t="s">
        <v>17</v>
      </c>
      <c r="K49" s="3" t="s">
        <v>17</v>
      </c>
      <c r="L49" s="2" t="n">
        <f aca="false">COUNTIF(D49:K49,"P")+COUNTIF(D49:K49,"AJ")</f>
        <v>3</v>
      </c>
      <c r="M49" s="2" t="n">
        <f aca="false">COUNTIF(D49:K49,"A")</f>
        <v>5</v>
      </c>
      <c r="N49" s="2" t="n">
        <f aca="false">8-COUNTIF(D49:K49,"-")</f>
        <v>8</v>
      </c>
      <c r="O49" s="4" t="n">
        <f aca="false">IF(N49=0,"-",L49/N49)</f>
        <v>0.375</v>
      </c>
      <c r="P49" s="2"/>
    </row>
    <row r="50" customFormat="false" ht="15" hidden="false" customHeight="false" outlineLevel="0" collapsed="false">
      <c r="A50" s="2" t="n">
        <v>51</v>
      </c>
      <c r="B50" s="2" t="s">
        <v>72</v>
      </c>
      <c r="C50" s="2"/>
      <c r="D50" s="3" t="s">
        <v>17</v>
      </c>
      <c r="E50" s="3" t="s">
        <v>18</v>
      </c>
      <c r="F50" s="3" t="s">
        <v>17</v>
      </c>
      <c r="G50" s="3" t="s">
        <v>18</v>
      </c>
      <c r="H50" s="3" t="s">
        <v>18</v>
      </c>
      <c r="I50" s="3" t="s">
        <v>18</v>
      </c>
      <c r="J50" s="3" t="s">
        <v>17</v>
      </c>
      <c r="K50" s="3" t="s">
        <v>18</v>
      </c>
      <c r="L50" s="2" t="n">
        <f aca="false">COUNTIF(D50:K50,"P")+COUNTIF(D50:K50,"AJ")</f>
        <v>5</v>
      </c>
      <c r="M50" s="2" t="n">
        <f aca="false">COUNTIF(D50:K50,"A")</f>
        <v>3</v>
      </c>
      <c r="N50" s="2" t="n">
        <f aca="false">8-COUNTIF(D50:K50,"-")</f>
        <v>8</v>
      </c>
      <c r="O50" s="4" t="n">
        <f aca="false">IF(N50=0,"-",L50/N50)</f>
        <v>0.625</v>
      </c>
      <c r="P50" s="2"/>
    </row>
    <row r="51" customFormat="false" ht="15" hidden="false" customHeight="false" outlineLevel="0" collapsed="false">
      <c r="A51" s="2" t="n">
        <v>52</v>
      </c>
      <c r="B51" s="2" t="s">
        <v>73</v>
      </c>
      <c r="C51" s="2"/>
      <c r="D51" s="3" t="s">
        <v>17</v>
      </c>
      <c r="E51" s="3" t="s">
        <v>18</v>
      </c>
      <c r="F51" s="3" t="s">
        <v>17</v>
      </c>
      <c r="G51" s="3" t="s">
        <v>17</v>
      </c>
      <c r="H51" s="3" t="s">
        <v>17</v>
      </c>
      <c r="I51" s="3" t="s">
        <v>40</v>
      </c>
      <c r="J51" s="3" t="s">
        <v>17</v>
      </c>
      <c r="K51" s="3" t="s">
        <v>17</v>
      </c>
      <c r="L51" s="2" t="n">
        <f aca="false">COUNTIF(D51:K51,"P")+COUNTIF(D51:K51,"AJ")</f>
        <v>2</v>
      </c>
      <c r="M51" s="2" t="n">
        <f aca="false">COUNTIF(D51:K51,"A")</f>
        <v>6</v>
      </c>
      <c r="N51" s="2" t="n">
        <f aca="false">8-COUNTIF(D51:K51,"-")</f>
        <v>8</v>
      </c>
      <c r="O51" s="4" t="n">
        <f aca="false">IF(N51=0,"-",L51/N51)</f>
        <v>0.25</v>
      </c>
      <c r="P5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5" t="s">
        <v>74</v>
      </c>
      <c r="B1" s="5" t="s">
        <v>75</v>
      </c>
    </row>
    <row r="2" customFormat="false" ht="15" hidden="false" customHeight="false" outlineLevel="0" collapsed="false">
      <c r="A2" s="6" t="s">
        <v>18</v>
      </c>
      <c r="B2" s="6" t="s">
        <v>76</v>
      </c>
    </row>
    <row r="3" customFormat="false" ht="15" hidden="false" customHeight="false" outlineLevel="0" collapsed="false">
      <c r="A3" s="6" t="s">
        <v>40</v>
      </c>
      <c r="B3" s="6" t="s">
        <v>77</v>
      </c>
    </row>
    <row r="4" customFormat="false" ht="15" hidden="false" customHeight="false" outlineLevel="0" collapsed="false">
      <c r="A4" s="6" t="s">
        <v>17</v>
      </c>
      <c r="B4" s="6" t="s">
        <v>78</v>
      </c>
    </row>
    <row r="5" customFormat="false" ht="15" hidden="false" customHeight="false" outlineLevel="0" collapsed="false">
      <c r="A5" s="6" t="s">
        <v>79</v>
      </c>
      <c r="B5" s="6" t="s">
        <v>80</v>
      </c>
    </row>
    <row r="6" customFormat="false" ht="15" hidden="false" customHeight="false" outlineLevel="0" collapsed="false">
      <c r="A6" s="6"/>
      <c r="B6" s="6"/>
    </row>
    <row r="7" customFormat="false" ht="15" hidden="false" customHeight="false" outlineLevel="0" collapsed="false">
      <c r="A7" s="6" t="s">
        <v>81</v>
      </c>
      <c r="B7" s="6" t="s">
        <v>82</v>
      </c>
    </row>
    <row r="8" customFormat="false" ht="15" hidden="false" customHeight="false" outlineLevel="0" collapsed="false">
      <c r="A8" s="6"/>
      <c r="B8" s="6"/>
    </row>
    <row r="9" customFormat="false" ht="15" hidden="false" customHeight="false" outlineLevel="0" collapsed="false">
      <c r="A9" s="6" t="s">
        <v>83</v>
      </c>
      <c r="B9" s="6"/>
    </row>
    <row r="10" customFormat="false" ht="15" hidden="false" customHeight="false" outlineLevel="0" collapsed="false">
      <c r="A10" s="6" t="s">
        <v>3</v>
      </c>
      <c r="B10" s="6" t="s">
        <v>84</v>
      </c>
    </row>
    <row r="11" customFormat="false" ht="15" hidden="false" customHeight="false" outlineLevel="0" collapsed="false">
      <c r="A11" s="6" t="s">
        <v>85</v>
      </c>
      <c r="B11" s="6" t="s">
        <v>86</v>
      </c>
    </row>
    <row r="12" customFormat="false" ht="15" hidden="false" customHeight="false" outlineLevel="0" collapsed="false">
      <c r="A12" s="6" t="s">
        <v>9</v>
      </c>
      <c r="B12" s="6" t="s">
        <v>87</v>
      </c>
    </row>
    <row r="13" customFormat="false" ht="55.2" hidden="false" customHeight="false" outlineLevel="0" collapsed="false">
      <c r="A13" s="6" t="s">
        <v>88</v>
      </c>
      <c r="B13" s="6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2026-09-18T19:38:32Z</dcterms:created>
  <dc:creator>openpyxl</dc:creator>
  <dc:description/>
  <dc:language>en-US</dc:language>
  <cp:lastModifiedBy/>
  <dcterms:modified xsi:type="dcterms:W3CDTF">2026-09-18T19:38:32Z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